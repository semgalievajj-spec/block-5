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64"/>
  </bookViews>
  <sheets>
    <sheet name="Топ-3 территорий" sheetId="3" r:id="rId1"/>
    <sheet name="Лист1" sheetId="1" r:id="rId2"/>
    <sheet name="Лист2" sheetId="2" r:id="rId3"/>
  </sheets>
  <calcPr calcId="152511"/>
  <pivotCaches>
    <pivotCache cacheId="4" r:id="rId4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4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</calcChain>
</file>

<file path=xl/sharedStrings.xml><?xml version="1.0" encoding="utf-8"?>
<sst xmlns="http://schemas.openxmlformats.org/spreadsheetml/2006/main" count="1045" uniqueCount="32">
  <si>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</si>
  <si>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</si>
  <si>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</si>
  <si>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</si>
  <si>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</si>
  <si>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</si>
  <si>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</si>
  <si>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</si>
  <si>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</si>
  <si>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</si>
  <si>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</si>
  <si>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</si>
  <si>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</si>
  <si>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</si>
  <si>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</si>
  <si>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</si>
  <si>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</si>
  <si>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</si>
  <si>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</si>
  <si>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</si>
  <si>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</si>
  <si>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</si>
  <si>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</si>
  <si>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</si>
  <si>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</si>
  <si>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</si>
  <si>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</si>
  <si>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</si>
  <si>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</si>
  <si>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</si>
  <si>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</si>
  <si>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Доля,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</si>
</sst>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0" fontId="4" fillId="0" borderId="0" xfId="0" applyFont="1" applyAlignment="1"/>
    <xf numFmtId="10" fontId="0" fillId="0" borderId="0" xfId="0" applyNumberFormat="1" applyFont="1" applyAlignment="1"/>
  </cellXfs>
  <cellStyles count="1">
    <cellStyle name="Обычный" xfId="0" builtinId="0"/>
  </cellStyles>
  <dxfs count="21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21.952406944445" createdVersion="5" refreshedVersion="5" minRefreshableVersion="3" recordCount="504">
  <cacheSource type="worksheet">
    <worksheetSource name="Таблица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1"/>
    <x v="0"/>
  </r>
  <r>
    <d v="2020-05-28T00:00:00"/>
    <x v="0"/>
    <n v="8536.5"/>
    <n v="643944"/>
    <n v="15"/>
    <n v="464"/>
    <n v="390"/>
    <x v="2"/>
    <x v="0"/>
  </r>
  <r>
    <d v="2020-05-16T00:00:00"/>
    <x v="1"/>
    <n v="38947.5"/>
    <n v="3395892"/>
    <n v="21"/>
    <n v="2145"/>
    <n v="1947"/>
    <x v="3"/>
    <x v="1"/>
  </r>
  <r>
    <d v="2020-05-19T00:00:00"/>
    <x v="1"/>
    <n v="31842"/>
    <n v="2771116.5"/>
    <n v="21"/>
    <n v="1860"/>
    <n v="1704"/>
    <x v="4"/>
    <x v="2"/>
  </r>
  <r>
    <d v="2020-05-17T00:00:00"/>
    <x v="1"/>
    <n v="32023.5"/>
    <n v="2882458.5"/>
    <n v="21"/>
    <n v="1874"/>
    <n v="1705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0"/>
    <n v="1519"/>
    <n v="1372"/>
    <x v="7"/>
    <x v="3"/>
  </r>
  <r>
    <d v="2020-04-29T00:00:00"/>
    <x v="1"/>
    <n v="29319"/>
    <n v="2623480.5"/>
    <n v="18"/>
    <n v="1684"/>
    <n v="1528"/>
    <x v="8"/>
    <x v="4"/>
  </r>
  <r>
    <d v="2020-05-02T00:00:00"/>
    <x v="1"/>
    <n v="29031"/>
    <n v="2711247"/>
    <n v="18"/>
    <n v="1708"/>
    <n v="1534"/>
    <x v="9"/>
    <x v="4"/>
  </r>
  <r>
    <d v="2020-05-26T00:00:00"/>
    <x v="1"/>
    <n v="33423"/>
    <n v="2970330"/>
    <n v="20"/>
    <n v="2044"/>
    <n v="1863"/>
    <x v="10"/>
    <x v="0"/>
  </r>
  <r>
    <d v="2020-05-01T00:00:00"/>
    <x v="1"/>
    <n v="32487"/>
    <n v="3031254"/>
    <n v="18"/>
    <n v="1826"/>
    <n v="1633"/>
    <x v="11"/>
    <x v="4"/>
  </r>
  <r>
    <d v="2020-05-12T00:00:00"/>
    <x v="1"/>
    <n v="28219.5"/>
    <n v="2595778.5"/>
    <n v="21"/>
    <n v="1656"/>
    <n v="1516"/>
    <x v="12"/>
    <x v="1"/>
  </r>
  <r>
    <d v="2020-05-21T00:00:00"/>
    <x v="1"/>
    <n v="31272"/>
    <n v="2744382"/>
    <n v="21"/>
    <n v="1787"/>
    <n v="1626"/>
    <x v="13"/>
    <x v="2"/>
  </r>
  <r>
    <d v="2020-05-20T00:00:00"/>
    <x v="1"/>
    <n v="34077"/>
    <n v="2929330.5"/>
    <n v="21"/>
    <n v="1921"/>
    <n v="1767"/>
    <x v="14"/>
    <x v="2"/>
  </r>
  <r>
    <d v="2020-05-05T00:00:00"/>
    <x v="1"/>
    <n v="31566"/>
    <n v="2906763"/>
    <n v="20"/>
    <n v="1773"/>
    <n v="1604"/>
    <x v="15"/>
    <x v="3"/>
  </r>
  <r>
    <d v="2020-04-28T00:00:00"/>
    <x v="1"/>
    <n v="26940"/>
    <n v="2411587.5"/>
    <n v="18"/>
    <n v="1539"/>
    <n v="1404"/>
    <x v="16"/>
    <x v="4"/>
  </r>
  <r>
    <d v="2020-05-13T00:00:00"/>
    <x v="1"/>
    <n v="29241"/>
    <n v="2629782"/>
    <n v="21"/>
    <n v="1698"/>
    <n v="1554"/>
    <x v="17"/>
    <x v="1"/>
  </r>
  <r>
    <d v="2020-05-03T00:00:00"/>
    <x v="1"/>
    <n v="26082"/>
    <n v="2434914"/>
    <n v="20"/>
    <n v="1520"/>
    <n v="1373"/>
    <x v="18"/>
    <x v="4"/>
  </r>
  <r>
    <d v="2020-05-06T00:00:00"/>
    <x v="1"/>
    <n v="32511"/>
    <n v="2938623"/>
    <n v="20"/>
    <n v="1784"/>
    <n v="1632"/>
    <x v="19"/>
    <x v="3"/>
  </r>
  <r>
    <d v="2020-05-23T00:00:00"/>
    <x v="1"/>
    <n v="42703.5"/>
    <n v="3628726.5"/>
    <n v="21"/>
    <n v="2340"/>
    <n v="2146"/>
    <x v="20"/>
    <x v="2"/>
  </r>
  <r>
    <d v="2020-05-25T00:00:00"/>
    <x v="1"/>
    <n v="35592"/>
    <n v="3176580"/>
    <n v="20"/>
    <n v="2087"/>
    <n v="1914"/>
    <x v="21"/>
    <x v="0"/>
  </r>
  <r>
    <d v="2020-04-30T00:00:00"/>
    <x v="1"/>
    <n v="30445.5"/>
    <n v="2817196.5"/>
    <n v="19"/>
    <n v="1712"/>
    <n v="1552"/>
    <x v="22"/>
    <x v="4"/>
  </r>
  <r>
    <d v="2020-05-10T00:00:00"/>
    <x v="1"/>
    <n v="36619.5"/>
    <n v="3312967.5"/>
    <n v="21"/>
    <n v="2016"/>
    <n v="1846"/>
    <x v="23"/>
    <x v="3"/>
  </r>
  <r>
    <d v="2020-05-08T00:00:00"/>
    <x v="1"/>
    <n v="29409"/>
    <n v="2645160"/>
    <n v="21"/>
    <n v="1646"/>
    <n v="1492"/>
    <x v="24"/>
    <x v="3"/>
  </r>
  <r>
    <d v="2020-05-07T00:00:00"/>
    <x v="1"/>
    <n v="27018"/>
    <n v="2472213"/>
    <n v="21"/>
    <n v="1542"/>
    <n v="1405"/>
    <x v="25"/>
    <x v="3"/>
  </r>
  <r>
    <d v="2020-05-24T00:00:00"/>
    <x v="1"/>
    <n v="34303.5"/>
    <n v="2924746.5"/>
    <n v="20"/>
    <n v="1999"/>
    <n v="1829"/>
    <x v="26"/>
    <x v="2"/>
  </r>
  <r>
    <d v="2020-05-31T00:00:00"/>
    <x v="1"/>
    <n v="36999"/>
    <n v="3473895"/>
    <n v="21"/>
    <n v="2271"/>
    <n v="2085"/>
    <x v="27"/>
    <x v="0"/>
  </r>
  <r>
    <d v="2020-05-30T00:00:00"/>
    <x v="1"/>
    <n v="44001"/>
    <n v="3921784.5"/>
    <n v="20"/>
    <n v="2597"/>
    <n v="2376"/>
    <x v="28"/>
    <x v="0"/>
  </r>
  <r>
    <d v="2020-05-28T00:00:00"/>
    <x v="1"/>
    <n v="30982.5"/>
    <n v="2827773"/>
    <n v="20"/>
    <n v="1886"/>
    <n v="1736"/>
    <x v="29"/>
    <x v="0"/>
  </r>
  <r>
    <d v="2020-05-16T00:00:00"/>
    <x v="2"/>
    <n v="88063.5"/>
    <n v="7583758.5"/>
    <n v="31"/>
    <n v="5593"/>
    <n v="5177"/>
    <x v="30"/>
    <x v="1"/>
  </r>
  <r>
    <d v="2020-05-19T00:00:00"/>
    <x v="2"/>
    <n v="84024"/>
    <n v="6815511"/>
    <n v="31"/>
    <n v="5389"/>
    <n v="5024"/>
    <x v="31"/>
    <x v="2"/>
  </r>
  <r>
    <d v="2020-05-17T00:00:00"/>
    <x v="2"/>
    <n v="78057"/>
    <n v="6774946.5"/>
    <n v="31"/>
    <n v="5206"/>
    <n v="4843"/>
    <x v="32"/>
    <x v="1"/>
  </r>
  <r>
    <d v="2020-05-09T00:00:00"/>
    <x v="2"/>
    <n v="69720"/>
    <n v="6264933"/>
    <n v="31"/>
    <n v="4556"/>
    <n v="4220"/>
    <x v="33"/>
    <x v="3"/>
  </r>
  <r>
    <d v="2020-05-04T00:00:00"/>
    <x v="2"/>
    <n v="72928.5"/>
    <n v="6642249"/>
    <n v="31"/>
    <n v="4968"/>
    <n v="4596"/>
    <x v="34"/>
    <x v="3"/>
  </r>
  <r>
    <d v="2020-04-29T00:00:00"/>
    <x v="2"/>
    <n v="79527"/>
    <n v="7180498.5"/>
    <n v="31"/>
    <n v="5378"/>
    <n v="4985"/>
    <x v="35"/>
    <x v="4"/>
  </r>
  <r>
    <d v="2020-05-02T00:00:00"/>
    <x v="2"/>
    <n v="60463.5"/>
    <n v="5554192.5"/>
    <n v="31"/>
    <n v="4157"/>
    <n v="3823"/>
    <x v="36"/>
    <x v="4"/>
  </r>
  <r>
    <d v="2020-05-26T00:00:00"/>
    <x v="2"/>
    <n v="79975.5"/>
    <n v="6676459.5"/>
    <n v="31"/>
    <n v="5493"/>
    <n v="5119"/>
    <x v="37"/>
    <x v="0"/>
  </r>
  <r>
    <d v="2020-05-01T00:00:00"/>
    <x v="2"/>
    <n v="97534.5"/>
    <n v="8893024.5"/>
    <n v="31"/>
    <n v="6118"/>
    <n v="5564"/>
    <x v="38"/>
    <x v="4"/>
  </r>
  <r>
    <d v="2020-05-12T00:00:00"/>
    <x v="2"/>
    <n v="71520"/>
    <n v="6398361"/>
    <n v="31"/>
    <n v="4800"/>
    <n v="4470"/>
    <x v="39"/>
    <x v="1"/>
  </r>
  <r>
    <d v="2020-05-21T00:00:00"/>
    <x v="2"/>
    <n v="79485"/>
    <n v="6633847.5"/>
    <n v="31"/>
    <n v="5207"/>
    <n v="4868"/>
    <x v="40"/>
    <x v="2"/>
  </r>
  <r>
    <d v="2020-05-20T00:00:00"/>
    <x v="2"/>
    <n v="93313.5"/>
    <n v="7247575.5"/>
    <n v="31"/>
    <n v="5698"/>
    <n v="5258"/>
    <x v="41"/>
    <x v="2"/>
  </r>
  <r>
    <d v="2020-05-05T00:00:00"/>
    <x v="2"/>
    <n v="76585.5"/>
    <n v="6921316.5"/>
    <n v="31"/>
    <n v="5188"/>
    <n v="4800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251"/>
    <n v="4853"/>
    <x v="44"/>
    <x v="1"/>
  </r>
  <r>
    <d v="2020-05-03T00:00:00"/>
    <x v="2"/>
    <n v="77263.5"/>
    <n v="7013670"/>
    <n v="31"/>
    <n v="5155"/>
    <n v="4762"/>
    <x v="45"/>
    <x v="4"/>
  </r>
  <r>
    <d v="2020-05-06T00:00:00"/>
    <x v="2"/>
    <n v="68994"/>
    <n v="6168657"/>
    <n v="31"/>
    <n v="4709"/>
    <n v="4348"/>
    <x v="46"/>
    <x v="3"/>
  </r>
  <r>
    <d v="2020-05-23T00:00:00"/>
    <x v="2"/>
    <n v="102889.5"/>
    <n v="8089143"/>
    <n v="31"/>
    <n v="6276"/>
    <n v="5801"/>
    <x v="47"/>
    <x v="2"/>
  </r>
  <r>
    <d v="2020-05-25T00:00:00"/>
    <x v="2"/>
    <n v="76999.5"/>
    <n v="6645603"/>
    <n v="31"/>
    <n v="5210"/>
    <n v="4841"/>
    <x v="48"/>
    <x v="0"/>
  </r>
  <r>
    <d v="2020-04-30T00:00:00"/>
    <x v="2"/>
    <n v="77565"/>
    <n v="7023727.5"/>
    <n v="31"/>
    <n v="5120"/>
    <n v="4737"/>
    <x v="49"/>
    <x v="4"/>
  </r>
  <r>
    <d v="2020-05-10T00:00:00"/>
    <x v="2"/>
    <n v="84132"/>
    <n v="7483194"/>
    <n v="31"/>
    <n v="5495"/>
    <n v="5093"/>
    <x v="50"/>
    <x v="3"/>
  </r>
  <r>
    <d v="2020-05-08T00:00:00"/>
    <x v="2"/>
    <n v="69544.5"/>
    <n v="6293776.5"/>
    <n v="31"/>
    <n v="4635"/>
    <n v="4266"/>
    <x v="51"/>
    <x v="3"/>
  </r>
  <r>
    <d v="2020-05-07T00:00:00"/>
    <x v="2"/>
    <n v="73204.5"/>
    <n v="6591883.5"/>
    <n v="31"/>
    <n v="4903"/>
    <n v="4527"/>
    <x v="52"/>
    <x v="3"/>
  </r>
  <r>
    <d v="2020-05-24T00:00:00"/>
    <x v="2"/>
    <n v="76663.5"/>
    <n v="6451032"/>
    <n v="31"/>
    <n v="5035"/>
    <n v="4683"/>
    <x v="53"/>
    <x v="2"/>
  </r>
  <r>
    <d v="2020-05-16T00:00:00"/>
    <x v="3"/>
    <n v="14265"/>
    <n v="1130506.5"/>
    <n v="10"/>
    <n v="760"/>
    <n v="672"/>
    <x v="54"/>
    <x v="1"/>
  </r>
  <r>
    <d v="2020-05-19T00:00:00"/>
    <x v="3"/>
    <n v="11526"/>
    <n v="938764.5"/>
    <n v="10"/>
    <n v="649"/>
    <n v="568"/>
    <x v="55"/>
    <x v="2"/>
  </r>
  <r>
    <d v="2020-05-17T00:00:00"/>
    <x v="3"/>
    <n v="10402.5"/>
    <n v="843727.5"/>
    <n v="10"/>
    <n v="591"/>
    <n v="513"/>
    <x v="56"/>
    <x v="1"/>
  </r>
  <r>
    <d v="2020-05-09T00:00:00"/>
    <x v="3"/>
    <n v="13216.5"/>
    <n v="1046400"/>
    <n v="10"/>
    <n v="644"/>
    <n v="559"/>
    <x v="57"/>
    <x v="3"/>
  </r>
  <r>
    <d v="2020-05-04T00:00:00"/>
    <x v="3"/>
    <n v="9130.5"/>
    <n v="728890.5"/>
    <n v="10"/>
    <n v="462"/>
    <n v="396"/>
    <x v="58"/>
    <x v="3"/>
  </r>
  <r>
    <d v="2020-04-29T00:00:00"/>
    <x v="3"/>
    <n v="10840.5"/>
    <n v="797919"/>
    <n v="10"/>
    <n v="502"/>
    <n v="433"/>
    <x v="59"/>
    <x v="4"/>
  </r>
  <r>
    <d v="2020-05-02T00:00:00"/>
    <x v="3"/>
    <n v="7866"/>
    <n v="617881.5"/>
    <n v="10"/>
    <n v="416"/>
    <n v="341"/>
    <x v="60"/>
    <x v="4"/>
  </r>
  <r>
    <d v="2020-05-26T00:00:00"/>
    <x v="3"/>
    <n v="11835"/>
    <n v="983109"/>
    <n v="10"/>
    <n v="692"/>
    <n v="601"/>
    <x v="61"/>
    <x v="0"/>
  </r>
  <r>
    <d v="2020-05-01T00:00:00"/>
    <x v="3"/>
    <n v="11619"/>
    <n v="891139.5"/>
    <n v="10"/>
    <n v="554"/>
    <n v="472"/>
    <x v="62"/>
    <x v="4"/>
  </r>
  <r>
    <d v="2020-05-12T00:00:00"/>
    <x v="3"/>
    <n v="9328.5"/>
    <n v="732964.5"/>
    <n v="10"/>
    <n v="526"/>
    <n v="448"/>
    <x v="63"/>
    <x v="1"/>
  </r>
  <r>
    <d v="2020-05-21T00:00:00"/>
    <x v="3"/>
    <n v="11250"/>
    <n v="935523"/>
    <n v="10"/>
    <n v="677"/>
    <n v="591"/>
    <x v="64"/>
    <x v="2"/>
  </r>
  <r>
    <d v="2020-05-20T00:00:00"/>
    <x v="3"/>
    <n v="13063.5"/>
    <n v="1037247"/>
    <n v="10"/>
    <n v="745"/>
    <n v="654"/>
    <x v="65"/>
    <x v="2"/>
  </r>
  <r>
    <d v="2020-05-05T00:00:00"/>
    <x v="3"/>
    <n v="10147.5"/>
    <n v="793320"/>
    <n v="10"/>
    <n v="511"/>
    <n v="437"/>
    <x v="66"/>
    <x v="3"/>
  </r>
  <r>
    <d v="2020-04-28T00:00:00"/>
    <x v="3"/>
    <n v="12331.5"/>
    <n v="869983.5"/>
    <n v="10"/>
    <n v="580"/>
    <n v="506"/>
    <x v="67"/>
    <x v="4"/>
  </r>
  <r>
    <d v="2020-05-13T00:00:00"/>
    <x v="3"/>
    <n v="11202"/>
    <n v="865714.5"/>
    <n v="10"/>
    <n v="612"/>
    <n v="530"/>
    <x v="68"/>
    <x v="1"/>
  </r>
  <r>
    <d v="2020-05-31T00:00:00"/>
    <x v="2"/>
    <n v="89149.5"/>
    <n v="7512646.5"/>
    <n v="31"/>
    <n v="5760"/>
    <n v="5367"/>
    <x v="69"/>
    <x v="0"/>
  </r>
  <r>
    <d v="2020-05-03T00:00:00"/>
    <x v="3"/>
    <n v="8185.5"/>
    <n v="637881"/>
    <n v="10"/>
    <n v="402"/>
    <n v="333"/>
    <x v="70"/>
    <x v="4"/>
  </r>
  <r>
    <d v="2020-05-30T00:00:00"/>
    <x v="2"/>
    <n v="108123"/>
    <n v="9164707.5"/>
    <n v="31"/>
    <n v="6735"/>
    <n v="6264"/>
    <x v="71"/>
    <x v="0"/>
  </r>
  <r>
    <d v="2020-05-06T00:00:00"/>
    <x v="3"/>
    <n v="9210"/>
    <n v="696832.5"/>
    <n v="10"/>
    <n v="465"/>
    <n v="390"/>
    <x v="72"/>
    <x v="3"/>
  </r>
  <r>
    <d v="2020-05-23T00:00:00"/>
    <x v="3"/>
    <n v="14773.5"/>
    <n v="1241383.5"/>
    <n v="10"/>
    <n v="828"/>
    <n v="734"/>
    <x v="73"/>
    <x v="2"/>
  </r>
  <r>
    <d v="2020-05-28T00:00:00"/>
    <x v="2"/>
    <n v="78141"/>
    <n v="6641569.5"/>
    <n v="31"/>
    <n v="5355"/>
    <n v="4969"/>
    <x v="74"/>
    <x v="0"/>
  </r>
  <r>
    <d v="2020-05-25T00:00:00"/>
    <x v="3"/>
    <n v="12280.5"/>
    <n v="1030440"/>
    <n v="10"/>
    <n v="739"/>
    <n v="642"/>
    <x v="75"/>
    <x v="0"/>
  </r>
  <r>
    <d v="2020-04-30T00:00:00"/>
    <x v="3"/>
    <n v="8934"/>
    <n v="716196"/>
    <n v="10"/>
    <n v="448"/>
    <n v="376"/>
    <x v="76"/>
    <x v="4"/>
  </r>
  <r>
    <d v="2020-05-10T00:00:00"/>
    <x v="3"/>
    <n v="12918"/>
    <n v="1004788.5"/>
    <n v="10"/>
    <n v="642"/>
    <n v="556"/>
    <x v="77"/>
    <x v="3"/>
  </r>
  <r>
    <d v="2020-05-08T00:00:00"/>
    <x v="3"/>
    <n v="12528"/>
    <n v="959703"/>
    <n v="10"/>
    <n v="638"/>
    <n v="547"/>
    <x v="78"/>
    <x v="3"/>
  </r>
  <r>
    <d v="2020-05-07T00:00:00"/>
    <x v="3"/>
    <n v="11029.5"/>
    <n v="863754"/>
    <n v="10"/>
    <n v="563"/>
    <n v="486"/>
    <x v="79"/>
    <x v="3"/>
  </r>
  <r>
    <d v="2020-05-24T00:00:00"/>
    <x v="3"/>
    <n v="9994.5"/>
    <n v="828984"/>
    <n v="10"/>
    <n v="639"/>
    <n v="557"/>
    <x v="80"/>
    <x v="2"/>
  </r>
  <r>
    <d v="2020-05-31T00:00:00"/>
    <x v="3"/>
    <n v="12724.5"/>
    <n v="1045515"/>
    <n v="10"/>
    <n v="749"/>
    <n v="655"/>
    <x v="81"/>
    <x v="0"/>
  </r>
  <r>
    <d v="2020-05-30T00:00:00"/>
    <x v="3"/>
    <n v="14728.5"/>
    <n v="1260483"/>
    <n v="10"/>
    <n v="865"/>
    <n v="763"/>
    <x v="82"/>
    <x v="0"/>
  </r>
  <r>
    <d v="2020-05-28T00:00:00"/>
    <x v="3"/>
    <n v="13038"/>
    <n v="1114552.5"/>
    <n v="10"/>
    <n v="791"/>
    <n v="697"/>
    <x v="83"/>
    <x v="0"/>
  </r>
  <r>
    <d v="2020-05-16T00:00:00"/>
    <x v="4"/>
    <n v="35482.5"/>
    <n v="3222517.5"/>
    <n v="19"/>
    <n v="2080"/>
    <n v="1844"/>
    <x v="84"/>
    <x v="1"/>
  </r>
  <r>
    <d v="2020-05-19T00:00:00"/>
    <x v="4"/>
    <n v="32434.5"/>
    <n v="2865337.5"/>
    <n v="19"/>
    <n v="1999"/>
    <n v="1799"/>
    <x v="85"/>
    <x v="2"/>
  </r>
  <r>
    <d v="2020-05-17T00:00:00"/>
    <x v="4"/>
    <n v="30486"/>
    <n v="2694289.5"/>
    <n v="19"/>
    <n v="1871"/>
    <n v="1660"/>
    <x v="86"/>
    <x v="1"/>
  </r>
  <r>
    <d v="2020-05-09T00:00:00"/>
    <x v="4"/>
    <n v="32079"/>
    <n v="2902167"/>
    <n v="19"/>
    <n v="1851"/>
    <n v="1635"/>
    <x v="87"/>
    <x v="3"/>
  </r>
  <r>
    <d v="2020-05-04T00:00:00"/>
    <x v="4"/>
    <n v="27072"/>
    <n v="2450968.5"/>
    <n v="19"/>
    <n v="1582"/>
    <n v="1403"/>
    <x v="88"/>
    <x v="3"/>
  </r>
  <r>
    <d v="2020-04-29T00:00:00"/>
    <x v="4"/>
    <n v="25917"/>
    <n v="2397588"/>
    <n v="18"/>
    <n v="1534"/>
    <n v="1369"/>
    <x v="89"/>
    <x v="4"/>
  </r>
  <r>
    <d v="2020-05-02T00:00:00"/>
    <x v="4"/>
    <n v="19461"/>
    <n v="1799230.5"/>
    <n v="19"/>
    <n v="1217"/>
    <n v="1048"/>
    <x v="90"/>
    <x v="4"/>
  </r>
  <r>
    <d v="2020-05-26T00:00:00"/>
    <x v="4"/>
    <n v="31407"/>
    <n v="2907411"/>
    <n v="20"/>
    <n v="2036"/>
    <n v="1790"/>
    <x v="91"/>
    <x v="0"/>
  </r>
  <r>
    <d v="2020-05-01T00:00:00"/>
    <x v="4"/>
    <n v="25792.5"/>
    <n v="2374356"/>
    <n v="19"/>
    <n v="1497"/>
    <n v="1291"/>
    <x v="92"/>
    <x v="4"/>
  </r>
  <r>
    <d v="2020-05-12T00:00:00"/>
    <x v="4"/>
    <n v="26032.5"/>
    <n v="2370432"/>
    <n v="19"/>
    <n v="1649"/>
    <n v="1460"/>
    <x v="93"/>
    <x v="1"/>
  </r>
  <r>
    <d v="2020-05-21T00:00:00"/>
    <x v="4"/>
    <n v="31707"/>
    <n v="2853181.5"/>
    <n v="19"/>
    <n v="1949"/>
    <n v="1724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417"/>
    <n v="1245"/>
    <x v="96"/>
    <x v="3"/>
  </r>
  <r>
    <d v="2020-04-28T00:00:00"/>
    <x v="4"/>
    <n v="23314.5"/>
    <n v="2136817.5"/>
    <n v="17"/>
    <n v="1439"/>
    <n v="1265"/>
    <x v="97"/>
    <x v="4"/>
  </r>
  <r>
    <d v="2020-05-13T00:00:00"/>
    <x v="4"/>
    <n v="26464.5"/>
    <n v="2373337.5"/>
    <n v="19"/>
    <n v="1625"/>
    <n v="1444"/>
    <x v="98"/>
    <x v="1"/>
  </r>
  <r>
    <d v="2020-05-03T00:00:00"/>
    <x v="4"/>
    <n v="23539.5"/>
    <n v="2170309.5"/>
    <n v="19"/>
    <n v="1402"/>
    <n v="1234"/>
    <x v="99"/>
    <x v="4"/>
  </r>
  <r>
    <d v="2020-05-06T00:00:00"/>
    <x v="4"/>
    <n v="24678"/>
    <n v="2232519"/>
    <n v="19"/>
    <n v="1499"/>
    <n v="1323"/>
    <x v="100"/>
    <x v="3"/>
  </r>
  <r>
    <d v="2020-05-23T00:00:00"/>
    <x v="4"/>
    <n v="38176.5"/>
    <n v="3385372.5"/>
    <n v="20"/>
    <n v="2266"/>
    <n v="1993"/>
    <x v="101"/>
    <x v="2"/>
  </r>
  <r>
    <d v="2020-05-25T00:00:00"/>
    <x v="4"/>
    <n v="30603"/>
    <n v="2865727.5"/>
    <n v="20"/>
    <n v="2011"/>
    <n v="1791"/>
    <x v="102"/>
    <x v="0"/>
  </r>
  <r>
    <d v="2020-04-30T00:00:00"/>
    <x v="4"/>
    <n v="24211.5"/>
    <n v="2267664"/>
    <n v="19"/>
    <n v="1499"/>
    <n v="1322"/>
    <x v="103"/>
    <x v="4"/>
  </r>
  <r>
    <d v="2020-05-10T00:00:00"/>
    <x v="4"/>
    <n v="31399.5"/>
    <n v="2862298.5"/>
    <n v="19"/>
    <n v="1848"/>
    <n v="1649"/>
    <x v="104"/>
    <x v="3"/>
  </r>
  <r>
    <d v="2020-05-08T00:00:00"/>
    <x v="4"/>
    <n v="25294.5"/>
    <n v="2271454.5"/>
    <n v="19"/>
    <n v="1522"/>
    <n v="1340"/>
    <x v="105"/>
    <x v="3"/>
  </r>
  <r>
    <d v="2020-05-07T00:00:00"/>
    <x v="4"/>
    <n v="25468.5"/>
    <n v="2350672.5"/>
    <n v="19"/>
    <n v="1530"/>
    <n v="1338"/>
    <x v="106"/>
    <x v="3"/>
  </r>
  <r>
    <d v="2020-05-24T00:00:00"/>
    <x v="4"/>
    <n v="31854"/>
    <n v="2915533.5"/>
    <n v="20"/>
    <n v="2015"/>
    <n v="1803"/>
    <x v="107"/>
    <x v="2"/>
  </r>
  <r>
    <d v="2020-05-31T00:00:00"/>
    <x v="4"/>
    <n v="32359.5"/>
    <n v="2991999"/>
    <n v="20"/>
    <n v="2060"/>
    <n v="1826"/>
    <x v="108"/>
    <x v="0"/>
  </r>
  <r>
    <d v="2020-05-30T00:00:00"/>
    <x v="4"/>
    <n v="39867"/>
    <n v="3654166.5"/>
    <n v="20"/>
    <n v="2451"/>
    <n v="2178"/>
    <x v="109"/>
    <x v="0"/>
  </r>
  <r>
    <d v="2020-05-28T00:00:00"/>
    <x v="4"/>
    <n v="31974"/>
    <n v="3004213.5"/>
    <n v="20"/>
    <n v="2088"/>
    <n v="1848"/>
    <x v="110"/>
    <x v="0"/>
  </r>
  <r>
    <d v="2020-05-16T00:00:00"/>
    <x v="5"/>
    <n v="321412.5"/>
    <n v="32235864"/>
    <n v="129"/>
    <n v="17914"/>
    <n v="16631"/>
    <x v="111"/>
    <x v="1"/>
  </r>
  <r>
    <d v="2020-05-19T00:00:00"/>
    <x v="5"/>
    <n v="276568.5"/>
    <n v="27093624"/>
    <n v="129"/>
    <n v="16191"/>
    <n v="15102"/>
    <x v="112"/>
    <x v="2"/>
  </r>
  <r>
    <d v="2020-05-17T00:00:00"/>
    <x v="5"/>
    <n v="269029.5"/>
    <n v="26659930.5"/>
    <n v="129"/>
    <n v="15744"/>
    <n v="14685"/>
    <x v="113"/>
    <x v="1"/>
  </r>
  <r>
    <d v="2020-05-09T00:00:00"/>
    <x v="5"/>
    <n v="285972"/>
    <n v="29768199"/>
    <n v="129"/>
    <n v="16420"/>
    <n v="15169"/>
    <x v="114"/>
    <x v="3"/>
  </r>
  <r>
    <d v="2020-05-04T00:00:00"/>
    <x v="5"/>
    <n v="283942.5"/>
    <n v="29357940"/>
    <n v="129"/>
    <n v="16525"/>
    <n v="15310"/>
    <x v="115"/>
    <x v="3"/>
  </r>
  <r>
    <d v="2020-04-29T00:00:00"/>
    <x v="5"/>
    <n v="298059"/>
    <n v="30869287.5"/>
    <n v="128"/>
    <n v="17368"/>
    <n v="16077"/>
    <x v="116"/>
    <x v="4"/>
  </r>
  <r>
    <d v="2020-05-02T00:00:00"/>
    <x v="5"/>
    <n v="232903.5"/>
    <n v="24342016.5"/>
    <n v="129"/>
    <n v="14009"/>
    <n v="12920"/>
    <x v="117"/>
    <x v="4"/>
  </r>
  <r>
    <d v="2020-05-26T00:00:00"/>
    <x v="5"/>
    <n v="276966"/>
    <n v="27872617.898850001"/>
    <n v="129"/>
    <n v="16459"/>
    <n v="15355"/>
    <x v="118"/>
    <x v="0"/>
  </r>
  <r>
    <d v="2020-05-01T00:00:00"/>
    <x v="5"/>
    <n v="296149.5"/>
    <n v="31053316.5"/>
    <n v="129"/>
    <n v="17002"/>
    <n v="15570"/>
    <x v="119"/>
    <x v="4"/>
  </r>
  <r>
    <d v="2020-05-12T00:00:00"/>
    <x v="5"/>
    <n v="281796"/>
    <n v="29042520"/>
    <n v="129"/>
    <n v="16387"/>
    <n v="15322"/>
    <x v="120"/>
    <x v="1"/>
  </r>
  <r>
    <d v="2020-05-21T00:00:00"/>
    <x v="5"/>
    <n v="288936"/>
    <n v="27852900"/>
    <n v="129"/>
    <n v="16373"/>
    <n v="15223"/>
    <x v="121"/>
    <x v="2"/>
  </r>
  <r>
    <d v="2020-05-20T00:00:00"/>
    <x v="5"/>
    <n v="300151.5"/>
    <n v="29368771.617449999"/>
    <n v="129"/>
    <n v="17095"/>
    <n v="15919"/>
    <x v="122"/>
    <x v="2"/>
  </r>
  <r>
    <d v="2020-05-05T00:00:00"/>
    <x v="5"/>
    <n v="262734"/>
    <n v="27278441.145"/>
    <n v="129"/>
    <n v="15665"/>
    <n v="14501"/>
    <x v="123"/>
    <x v="3"/>
  </r>
  <r>
    <d v="2020-04-28T00:00:00"/>
    <x v="5"/>
    <n v="286002"/>
    <n v="29159032.5"/>
    <n v="128"/>
    <n v="16450"/>
    <n v="15320"/>
    <x v="124"/>
    <x v="4"/>
  </r>
  <r>
    <d v="2020-05-13T00:00:00"/>
    <x v="5"/>
    <n v="258459"/>
    <n v="26467453.5"/>
    <n v="129"/>
    <n v="15304"/>
    <n v="14315"/>
    <x v="125"/>
    <x v="1"/>
  </r>
  <r>
    <d v="2020-05-03T00:00:00"/>
    <x v="5"/>
    <n v="274083"/>
    <n v="28427001"/>
    <n v="129"/>
    <n v="15778"/>
    <n v="14624"/>
    <x v="126"/>
    <x v="4"/>
  </r>
  <r>
    <d v="2020-05-06T00:00:00"/>
    <x v="5"/>
    <n v="277512"/>
    <n v="28770810.105599999"/>
    <n v="129"/>
    <n v="16376"/>
    <n v="15197"/>
    <x v="127"/>
    <x v="3"/>
  </r>
  <r>
    <d v="2020-05-23T00:00:00"/>
    <x v="5"/>
    <n v="356982"/>
    <n v="35103926.711549997"/>
    <n v="129"/>
    <n v="19856"/>
    <n v="18325"/>
    <x v="128"/>
    <x v="2"/>
  </r>
  <r>
    <d v="2020-05-25T00:00:00"/>
    <x v="5"/>
    <n v="266983.5"/>
    <n v="27165913.5"/>
    <n v="129"/>
    <n v="15822"/>
    <n v="14753"/>
    <x v="129"/>
    <x v="0"/>
  </r>
  <r>
    <d v="2020-04-30T00:00:00"/>
    <x v="5"/>
    <n v="311131.5"/>
    <n v="32418879"/>
    <n v="129"/>
    <n v="18042"/>
    <n v="16631"/>
    <x v="130"/>
    <x v="4"/>
  </r>
  <r>
    <d v="2020-05-10T00:00:00"/>
    <x v="5"/>
    <n v="287206.5"/>
    <n v="29536176.10605"/>
    <n v="129"/>
    <n v="16437"/>
    <n v="15285"/>
    <x v="131"/>
    <x v="3"/>
  </r>
  <r>
    <d v="2020-05-08T00:00:00"/>
    <x v="5"/>
    <n v="370092"/>
    <n v="38091556.5"/>
    <n v="129"/>
    <n v="20452"/>
    <n v="18857"/>
    <x v="132"/>
    <x v="3"/>
  </r>
  <r>
    <d v="2020-05-07T00:00:00"/>
    <x v="5"/>
    <n v="247813.5"/>
    <n v="25325271"/>
    <n v="129"/>
    <n v="14582"/>
    <n v="13512"/>
    <x v="133"/>
    <x v="3"/>
  </r>
  <r>
    <d v="2020-05-24T00:00:00"/>
    <x v="5"/>
    <n v="287740.5"/>
    <n v="28188534"/>
    <n v="129"/>
    <n v="16432"/>
    <n v="15345"/>
    <x v="134"/>
    <x v="2"/>
  </r>
  <r>
    <d v="2020-05-16T00:00:00"/>
    <x v="6"/>
    <n v="408810"/>
    <n v="42323631"/>
    <n v="125"/>
    <n v="22291"/>
    <n v="20635"/>
    <x v="135"/>
    <x v="1"/>
  </r>
  <r>
    <d v="2020-05-19T00:00:00"/>
    <x v="6"/>
    <n v="362536.5"/>
    <n v="37023243"/>
    <n v="125"/>
    <n v="20771"/>
    <n v="19338"/>
    <x v="136"/>
    <x v="2"/>
  </r>
  <r>
    <d v="2020-05-17T00:00:00"/>
    <x v="6"/>
    <n v="357072"/>
    <n v="36834567"/>
    <n v="125"/>
    <n v="20079"/>
    <n v="18721"/>
    <x v="137"/>
    <x v="1"/>
  </r>
  <r>
    <d v="2020-05-09T00:00:00"/>
    <x v="6"/>
    <n v="359214"/>
    <n v="38693427"/>
    <n v="125"/>
    <n v="20132"/>
    <n v="18617"/>
    <x v="138"/>
    <x v="3"/>
  </r>
  <r>
    <d v="2020-05-04T00:00:00"/>
    <x v="6"/>
    <n v="360255"/>
    <n v="38406954"/>
    <n v="125"/>
    <n v="20495"/>
    <n v="18964"/>
    <x v="139"/>
    <x v="3"/>
  </r>
  <r>
    <d v="2020-04-29T00:00:00"/>
    <x v="6"/>
    <n v="387220.5"/>
    <n v="41559384"/>
    <n v="125"/>
    <n v="21863"/>
    <n v="20160"/>
    <x v="140"/>
    <x v="4"/>
  </r>
  <r>
    <d v="2020-05-02T00:00:00"/>
    <x v="6"/>
    <n v="296580"/>
    <n v="31843737"/>
    <n v="125"/>
    <n v="16932"/>
    <n v="15601"/>
    <x v="141"/>
    <x v="4"/>
  </r>
  <r>
    <d v="2020-05-26T00:00:00"/>
    <x v="6"/>
    <n v="369861"/>
    <n v="38365960.5"/>
    <n v="124"/>
    <n v="21153"/>
    <n v="19673"/>
    <x v="142"/>
    <x v="0"/>
  </r>
  <r>
    <d v="2020-05-01T00:00:00"/>
    <x v="6"/>
    <n v="372504"/>
    <n v="40077193.5"/>
    <n v="125"/>
    <n v="20602"/>
    <n v="18845"/>
    <x v="143"/>
    <x v="4"/>
  </r>
  <r>
    <d v="2020-05-12T00:00:00"/>
    <x v="6"/>
    <n v="373392"/>
    <n v="39578577"/>
    <n v="125"/>
    <n v="21106"/>
    <n v="19651"/>
    <x v="144"/>
    <x v="1"/>
  </r>
  <r>
    <d v="2020-05-21T00:00:00"/>
    <x v="6"/>
    <n v="378043.5"/>
    <n v="37902156.57"/>
    <n v="125"/>
    <n v="20911"/>
    <n v="19358"/>
    <x v="145"/>
    <x v="2"/>
  </r>
  <r>
    <d v="2020-05-20T00:00:00"/>
    <x v="6"/>
    <n v="388668"/>
    <n v="39639309"/>
    <n v="125"/>
    <n v="21674"/>
    <n v="20155"/>
    <x v="146"/>
    <x v="2"/>
  </r>
  <r>
    <d v="2020-05-05T00:00:00"/>
    <x v="6"/>
    <n v="333792"/>
    <n v="35671734"/>
    <n v="125"/>
    <n v="18944"/>
    <n v="17541"/>
    <x v="147"/>
    <x v="3"/>
  </r>
  <r>
    <d v="2020-04-28T00:00:00"/>
    <x v="6"/>
    <n v="376060.5"/>
    <n v="39918028.5"/>
    <n v="125"/>
    <n v="20914"/>
    <n v="19479"/>
    <x v="148"/>
    <x v="4"/>
  </r>
  <r>
    <d v="2020-05-13T00:00:00"/>
    <x v="6"/>
    <n v="350068.5"/>
    <n v="37197115.5"/>
    <n v="125"/>
    <n v="19965"/>
    <n v="18573"/>
    <x v="149"/>
    <x v="1"/>
  </r>
  <r>
    <d v="2020-05-31T00:00:00"/>
    <x v="5"/>
    <n v="294337.5"/>
    <n v="29327766"/>
    <n v="129"/>
    <n v="17235"/>
    <n v="16052"/>
    <x v="150"/>
    <x v="0"/>
  </r>
  <r>
    <d v="2020-05-03T00:00:00"/>
    <x v="6"/>
    <n v="342666"/>
    <n v="36631999.5"/>
    <n v="125"/>
    <n v="18861"/>
    <n v="17420"/>
    <x v="151"/>
    <x v="4"/>
  </r>
  <r>
    <d v="2020-05-30T00:00:00"/>
    <x v="5"/>
    <n v="364882.5"/>
    <n v="35724493.5"/>
    <n v="129"/>
    <n v="20243"/>
    <n v="18711"/>
    <x v="152"/>
    <x v="0"/>
  </r>
  <r>
    <d v="2020-05-06T00:00:00"/>
    <x v="6"/>
    <n v="355278"/>
    <n v="38092344"/>
    <n v="125"/>
    <n v="20218"/>
    <n v="18647"/>
    <x v="153"/>
    <x v="3"/>
  </r>
  <r>
    <d v="2020-05-23T00:00:00"/>
    <x v="6"/>
    <n v="456885"/>
    <n v="46408080"/>
    <n v="125"/>
    <n v="24574"/>
    <n v="22609"/>
    <x v="154"/>
    <x v="2"/>
  </r>
  <r>
    <d v="2020-05-28T00:00:00"/>
    <x v="5"/>
    <n v="278491.5"/>
    <n v="28151004.75"/>
    <n v="129"/>
    <n v="16453"/>
    <n v="15289"/>
    <x v="155"/>
    <x v="0"/>
  </r>
  <r>
    <d v="2020-05-25T00:00:00"/>
    <x v="6"/>
    <n v="349734"/>
    <n v="36883428"/>
    <n v="124"/>
    <n v="20358"/>
    <n v="18890"/>
    <x v="156"/>
    <x v="0"/>
  </r>
  <r>
    <d v="2020-04-30T00:00:00"/>
    <x v="6"/>
    <n v="401580"/>
    <n v="43028734.5"/>
    <n v="125"/>
    <n v="22368"/>
    <n v="20625"/>
    <x v="157"/>
    <x v="4"/>
  </r>
  <r>
    <d v="2020-05-10T00:00:00"/>
    <x v="6"/>
    <n v="368649"/>
    <n v="39010875"/>
    <n v="125"/>
    <n v="20368"/>
    <n v="18884"/>
    <x v="158"/>
    <x v="3"/>
  </r>
  <r>
    <d v="2020-05-08T00:00:00"/>
    <x v="6"/>
    <n v="463530"/>
    <n v="49123180.5"/>
    <n v="125"/>
    <n v="24620"/>
    <n v="22641"/>
    <x v="159"/>
    <x v="3"/>
  </r>
  <r>
    <d v="2020-05-07T00:00:00"/>
    <x v="6"/>
    <n v="319110"/>
    <n v="33763989"/>
    <n v="125"/>
    <n v="18014"/>
    <n v="16675"/>
    <x v="160"/>
    <x v="3"/>
  </r>
  <r>
    <d v="2020-05-24T00:00:00"/>
    <x v="6"/>
    <n v="375744"/>
    <n v="38191381.5"/>
    <n v="125"/>
    <n v="21004"/>
    <n v="19556"/>
    <x v="161"/>
    <x v="2"/>
  </r>
  <r>
    <d v="2020-05-16T00:00:00"/>
    <x v="7"/>
    <n v="81331.5"/>
    <n v="6652179"/>
    <n v="36"/>
    <n v="5286"/>
    <n v="4867"/>
    <x v="162"/>
    <x v="1"/>
  </r>
  <r>
    <d v="2020-05-19T00:00:00"/>
    <x v="7"/>
    <n v="75796.5"/>
    <n v="6173463"/>
    <n v="36"/>
    <n v="5094"/>
    <n v="4716"/>
    <x v="163"/>
    <x v="2"/>
  </r>
  <r>
    <d v="2020-05-17T00:00:00"/>
    <x v="7"/>
    <n v="72861"/>
    <n v="5952802.5"/>
    <n v="36"/>
    <n v="4918"/>
    <n v="4554"/>
    <x v="164"/>
    <x v="1"/>
  </r>
  <r>
    <d v="2020-05-09T00:00:00"/>
    <x v="7"/>
    <n v="83373"/>
    <n v="7253427"/>
    <n v="36"/>
    <n v="5413"/>
    <n v="4959"/>
    <x v="165"/>
    <x v="3"/>
  </r>
  <r>
    <d v="2020-05-04T00:00:00"/>
    <x v="7"/>
    <n v="64108.5"/>
    <n v="5561452.5"/>
    <n v="36"/>
    <n v="4508"/>
    <n v="4149"/>
    <x v="166"/>
    <x v="3"/>
  </r>
  <r>
    <d v="2020-04-29T00:00:00"/>
    <x v="7"/>
    <n v="74707.5"/>
    <n v="6454458"/>
    <n v="36"/>
    <n v="4937"/>
    <n v="4561"/>
    <x v="167"/>
    <x v="4"/>
  </r>
  <r>
    <d v="2020-05-02T00:00:00"/>
    <x v="7"/>
    <n v="46216.5"/>
    <n v="4118251.5"/>
    <n v="36"/>
    <n v="3442"/>
    <n v="3147"/>
    <x v="168"/>
    <x v="4"/>
  </r>
  <r>
    <d v="2020-05-26T00:00:00"/>
    <x v="7"/>
    <n v="67726.5"/>
    <n v="5864989.5"/>
    <n v="36"/>
    <n v="4770"/>
    <n v="4424"/>
    <x v="169"/>
    <x v="0"/>
  </r>
  <r>
    <d v="2020-05-01T00:00:00"/>
    <x v="7"/>
    <n v="82228.5"/>
    <n v="7032225"/>
    <n v="36"/>
    <n v="5457"/>
    <n v="4916"/>
    <x v="170"/>
    <x v="4"/>
  </r>
  <r>
    <d v="2020-05-12T00:00:00"/>
    <x v="7"/>
    <n v="64390.5"/>
    <n v="5523145.5"/>
    <n v="36"/>
    <n v="4418"/>
    <n v="4088"/>
    <x v="171"/>
    <x v="1"/>
  </r>
  <r>
    <d v="2020-05-21T00:00:00"/>
    <x v="7"/>
    <n v="73126.5"/>
    <n v="5864085"/>
    <n v="36"/>
    <n v="4816"/>
    <n v="4452"/>
    <x v="172"/>
    <x v="2"/>
  </r>
  <r>
    <d v="2020-05-20T00:00:00"/>
    <x v="7"/>
    <n v="99631.5"/>
    <n v="7121946"/>
    <n v="36"/>
    <n v="5914"/>
    <n v="5384"/>
    <x v="173"/>
    <x v="2"/>
  </r>
  <r>
    <d v="2020-05-05T00:00:00"/>
    <x v="7"/>
    <n v="66396"/>
    <n v="5770539"/>
    <n v="36"/>
    <n v="4575"/>
    <n v="4206"/>
    <x v="174"/>
    <x v="3"/>
  </r>
  <r>
    <d v="2020-04-28T00:00:00"/>
    <x v="7"/>
    <n v="73147.5"/>
    <n v="6288246"/>
    <n v="36"/>
    <n v="4923"/>
    <n v="4560"/>
    <x v="175"/>
    <x v="4"/>
  </r>
  <r>
    <d v="2020-05-13T00:00:00"/>
    <x v="7"/>
    <n v="73062"/>
    <n v="6333828"/>
    <n v="36"/>
    <n v="4967"/>
    <n v="4583"/>
    <x v="176"/>
    <x v="1"/>
  </r>
  <r>
    <d v="2020-05-31T00:00:00"/>
    <x v="6"/>
    <n v="379663.5"/>
    <n v="39380178"/>
    <n v="124"/>
    <n v="21392"/>
    <n v="19869"/>
    <x v="177"/>
    <x v="0"/>
  </r>
  <r>
    <d v="2020-05-03T00:00:00"/>
    <x v="7"/>
    <n v="70581"/>
    <n v="6221320.5"/>
    <n v="36"/>
    <n v="4751"/>
    <n v="4370"/>
    <x v="178"/>
    <x v="4"/>
  </r>
  <r>
    <d v="2020-05-30T00:00:00"/>
    <x v="6"/>
    <n v="453123"/>
    <n v="46370904"/>
    <n v="124"/>
    <n v="24325"/>
    <n v="22469"/>
    <x v="179"/>
    <x v="0"/>
  </r>
  <r>
    <d v="2020-05-06T00:00:00"/>
    <x v="7"/>
    <n v="63012"/>
    <n v="5454121.5"/>
    <n v="36"/>
    <n v="4384"/>
    <n v="4025"/>
    <x v="180"/>
    <x v="3"/>
  </r>
  <r>
    <d v="2020-05-23T00:00:00"/>
    <x v="7"/>
    <n v="89556"/>
    <n v="7173117"/>
    <n v="36"/>
    <n v="5651"/>
    <n v="5212"/>
    <x v="181"/>
    <x v="2"/>
  </r>
  <r>
    <d v="2020-05-28T00:00:00"/>
    <x v="6"/>
    <n v="364638"/>
    <n v="37947688.5"/>
    <n v="124"/>
    <n v="20868"/>
    <n v="19342"/>
    <x v="182"/>
    <x v="0"/>
  </r>
  <r>
    <d v="2020-05-25T00:00:00"/>
    <x v="7"/>
    <n v="66316.5"/>
    <n v="5704650"/>
    <n v="36"/>
    <n v="4641"/>
    <n v="4274"/>
    <x v="183"/>
    <x v="0"/>
  </r>
  <r>
    <d v="2020-04-30T00:00:00"/>
    <x v="7"/>
    <n v="78235.5"/>
    <n v="6819594"/>
    <n v="36"/>
    <n v="5143"/>
    <n v="4715"/>
    <x v="184"/>
    <x v="4"/>
  </r>
  <r>
    <d v="2020-05-10T00:00:00"/>
    <x v="7"/>
    <n v="88311"/>
    <n v="7726069.5"/>
    <n v="36"/>
    <n v="5746"/>
    <n v="5277"/>
    <x v="185"/>
    <x v="3"/>
  </r>
  <r>
    <d v="2020-05-08T00:00:00"/>
    <x v="7"/>
    <n v="61804.5"/>
    <n v="5365708.5"/>
    <n v="36"/>
    <n v="4199"/>
    <n v="3867"/>
    <x v="186"/>
    <x v="3"/>
  </r>
  <r>
    <d v="2020-05-07T00:00:00"/>
    <x v="7"/>
    <n v="71067"/>
    <n v="6175837.5"/>
    <n v="36"/>
    <n v="4826"/>
    <n v="4426"/>
    <x v="187"/>
    <x v="3"/>
  </r>
  <r>
    <d v="2020-05-24T00:00:00"/>
    <x v="7"/>
    <n v="74649"/>
    <n v="6098236.5"/>
    <n v="36"/>
    <n v="4915"/>
    <n v="4562"/>
    <x v="188"/>
    <x v="2"/>
  </r>
  <r>
    <d v="2020-05-16T00:00:00"/>
    <x v="8"/>
    <n v="44560.5"/>
    <n v="4025148"/>
    <n v="21"/>
    <n v="2427"/>
    <n v="2213"/>
    <x v="189"/>
    <x v="1"/>
  </r>
  <r>
    <d v="2020-05-19T00:00:00"/>
    <x v="8"/>
    <n v="38250"/>
    <n v="3552937.5"/>
    <n v="21"/>
    <n v="2245"/>
    <n v="2053"/>
    <x v="190"/>
    <x v="2"/>
  </r>
  <r>
    <d v="2020-05-17T00:00:00"/>
    <x v="8"/>
    <n v="34830"/>
    <n v="3191155.5"/>
    <n v="21"/>
    <n v="2054"/>
    <n v="1883"/>
    <x v="191"/>
    <x v="1"/>
  </r>
  <r>
    <d v="2020-05-09T00:00:00"/>
    <x v="8"/>
    <n v="32239.5"/>
    <n v="3084892.5"/>
    <n v="21"/>
    <n v="1891"/>
    <n v="1709"/>
    <x v="192"/>
    <x v="3"/>
  </r>
  <r>
    <d v="2020-05-04T00:00:00"/>
    <x v="8"/>
    <n v="30780"/>
    <n v="2817853.5"/>
    <n v="20"/>
    <n v="1804"/>
    <n v="1638"/>
    <x v="193"/>
    <x v="3"/>
  </r>
  <r>
    <d v="2020-04-29T00:00:00"/>
    <x v="8"/>
    <n v="29142"/>
    <n v="2627595"/>
    <n v="19"/>
    <n v="1676"/>
    <n v="1516"/>
    <x v="194"/>
    <x v="4"/>
  </r>
  <r>
    <d v="2020-05-02T00:00:00"/>
    <x v="8"/>
    <n v="26428.5"/>
    <n v="2470465.5"/>
    <n v="20"/>
    <n v="1613"/>
    <n v="1457"/>
    <x v="195"/>
    <x v="4"/>
  </r>
  <r>
    <d v="2020-05-26T00:00:00"/>
    <x v="8"/>
    <n v="40744.5"/>
    <n v="3700311"/>
    <n v="21"/>
    <n v="2418"/>
    <n v="2215"/>
    <x v="196"/>
    <x v="0"/>
  </r>
  <r>
    <d v="2020-05-01T00:00:00"/>
    <x v="8"/>
    <n v="46620"/>
    <n v="4293241.5"/>
    <n v="20"/>
    <n v="2468"/>
    <n v="2221"/>
    <x v="197"/>
    <x v="4"/>
  </r>
  <r>
    <d v="2020-05-12T00:00:00"/>
    <x v="8"/>
    <n v="32419.5"/>
    <n v="3080614.5"/>
    <n v="21"/>
    <n v="1926"/>
    <n v="1745"/>
    <x v="198"/>
    <x v="1"/>
  </r>
  <r>
    <d v="2020-05-21T00:00:00"/>
    <x v="8"/>
    <n v="40819.5"/>
    <n v="3810394.5"/>
    <n v="21"/>
    <n v="2335"/>
    <n v="2126"/>
    <x v="199"/>
    <x v="2"/>
  </r>
  <r>
    <d v="2020-05-20T00:00:00"/>
    <x v="8"/>
    <n v="41391"/>
    <n v="3918987"/>
    <n v="21"/>
    <n v="2410"/>
    <n v="2202"/>
    <x v="200"/>
    <x v="2"/>
  </r>
  <r>
    <d v="2020-05-05T00:00:00"/>
    <x v="8"/>
    <n v="29482.5"/>
    <n v="2648688"/>
    <n v="20"/>
    <n v="1757"/>
    <n v="1596"/>
    <x v="201"/>
    <x v="3"/>
  </r>
  <r>
    <d v="2020-04-28T00:00:00"/>
    <x v="8"/>
    <n v="32181"/>
    <n v="2863600.5"/>
    <n v="19"/>
    <n v="1846"/>
    <n v="1681"/>
    <x v="202"/>
    <x v="4"/>
  </r>
  <r>
    <d v="2020-05-13T00:00:00"/>
    <x v="8"/>
    <n v="35535"/>
    <n v="3288069"/>
    <n v="21"/>
    <n v="2061"/>
    <n v="1876"/>
    <x v="203"/>
    <x v="1"/>
  </r>
  <r>
    <d v="2020-05-31T00:00:00"/>
    <x v="7"/>
    <n v="76234.5"/>
    <n v="6500848.5"/>
    <n v="37"/>
    <n v="5215"/>
    <n v="4848"/>
    <x v="204"/>
    <x v="0"/>
  </r>
  <r>
    <d v="2020-05-03T00:00:00"/>
    <x v="8"/>
    <n v="29935.5"/>
    <n v="2720002.5"/>
    <n v="20"/>
    <n v="1716"/>
    <n v="1561"/>
    <x v="205"/>
    <x v="4"/>
  </r>
  <r>
    <d v="2020-05-30T00:00:00"/>
    <x v="7"/>
    <n v="106926"/>
    <n v="9098386.5"/>
    <n v="37"/>
    <n v="6645"/>
    <n v="6122"/>
    <x v="206"/>
    <x v="0"/>
  </r>
  <r>
    <d v="2020-05-06T00:00:00"/>
    <x v="8"/>
    <n v="30342"/>
    <n v="2738127"/>
    <n v="20"/>
    <n v="1747"/>
    <n v="1570"/>
    <x v="207"/>
    <x v="3"/>
  </r>
  <r>
    <d v="2020-05-23T00:00:00"/>
    <x v="8"/>
    <n v="42999"/>
    <n v="3883215"/>
    <n v="21"/>
    <n v="2460"/>
    <n v="2226"/>
    <x v="208"/>
    <x v="2"/>
  </r>
  <r>
    <d v="2020-05-28T00:00:00"/>
    <x v="7"/>
    <n v="69945"/>
    <n v="6101931"/>
    <n v="37"/>
    <n v="4840"/>
    <n v="4475"/>
    <x v="209"/>
    <x v="0"/>
  </r>
  <r>
    <d v="2020-05-25T00:00:00"/>
    <x v="8"/>
    <n v="38740.5"/>
    <n v="3561655.5"/>
    <n v="21"/>
    <n v="2330"/>
    <n v="2142"/>
    <x v="210"/>
    <x v="0"/>
  </r>
  <r>
    <d v="2020-04-30T00:00:00"/>
    <x v="8"/>
    <n v="31231.5"/>
    <n v="2853310.5"/>
    <n v="20"/>
    <n v="1756"/>
    <n v="1586"/>
    <x v="211"/>
    <x v="4"/>
  </r>
  <r>
    <d v="2020-05-10T00:00:00"/>
    <x v="8"/>
    <n v="37489.5"/>
    <n v="3549097.5"/>
    <n v="21"/>
    <n v="2120"/>
    <n v="1921"/>
    <x v="212"/>
    <x v="3"/>
  </r>
  <r>
    <d v="2020-05-08T00:00:00"/>
    <x v="8"/>
    <n v="34399.5"/>
    <n v="3201358.5"/>
    <n v="21"/>
    <n v="1957"/>
    <n v="1755"/>
    <x v="213"/>
    <x v="3"/>
  </r>
  <r>
    <d v="2020-05-07T00:00:00"/>
    <x v="8"/>
    <n v="32851.5"/>
    <n v="2934504"/>
    <n v="21"/>
    <n v="1879"/>
    <n v="1695"/>
    <x v="214"/>
    <x v="3"/>
  </r>
  <r>
    <d v="2020-05-24T00:00:00"/>
    <x v="8"/>
    <n v="38194.5"/>
    <n v="3449302.5"/>
    <n v="21"/>
    <n v="2254"/>
    <n v="2061"/>
    <x v="215"/>
    <x v="2"/>
  </r>
  <r>
    <d v="2020-05-31T00:00:00"/>
    <x v="8"/>
    <n v="42423"/>
    <n v="3994153.5"/>
    <n v="23"/>
    <n v="2522"/>
    <n v="2295"/>
    <x v="216"/>
    <x v="0"/>
  </r>
  <r>
    <d v="2020-05-30T00:00:00"/>
    <x v="8"/>
    <n v="48286.5"/>
    <n v="4456441.5"/>
    <n v="22"/>
    <n v="2793"/>
    <n v="2539"/>
    <x v="217"/>
    <x v="0"/>
  </r>
  <r>
    <d v="2020-05-28T00:00:00"/>
    <x v="8"/>
    <n v="41442"/>
    <n v="3893680.5"/>
    <n v="22"/>
    <n v="2454"/>
    <n v="2239"/>
    <x v="218"/>
    <x v="0"/>
  </r>
  <r>
    <d v="2020-05-16T00:00:00"/>
    <x v="9"/>
    <n v="18600"/>
    <n v="1601425.5"/>
    <n v="15"/>
    <n v="1111"/>
    <n v="992"/>
    <x v="219"/>
    <x v="1"/>
  </r>
  <r>
    <d v="2020-05-19T00:00:00"/>
    <x v="9"/>
    <n v="16638"/>
    <n v="1364847"/>
    <n v="16"/>
    <n v="1012"/>
    <n v="900"/>
    <x v="220"/>
    <x v="2"/>
  </r>
  <r>
    <d v="2020-05-17T00:00:00"/>
    <x v="9"/>
    <n v="15609"/>
    <n v="1377577.5"/>
    <n v="15"/>
    <n v="971"/>
    <n v="856"/>
    <x v="221"/>
    <x v="1"/>
  </r>
  <r>
    <d v="2020-05-09T00:00:00"/>
    <x v="9"/>
    <n v="13948.5"/>
    <n v="1222932"/>
    <n v="15"/>
    <n v="849"/>
    <n v="740"/>
    <x v="222"/>
    <x v="3"/>
  </r>
  <r>
    <d v="2020-05-04T00:00:00"/>
    <x v="9"/>
    <n v="12301.5"/>
    <n v="1085211"/>
    <n v="15"/>
    <n v="750"/>
    <n v="647"/>
    <x v="223"/>
    <x v="3"/>
  </r>
  <r>
    <d v="2020-04-29T00:00:00"/>
    <x v="9"/>
    <n v="13014"/>
    <n v="1115992.5"/>
    <n v="15"/>
    <n v="786"/>
    <n v="695"/>
    <x v="224"/>
    <x v="4"/>
  </r>
  <r>
    <d v="2020-05-02T00:00:00"/>
    <x v="9"/>
    <n v="12313.5"/>
    <n v="1053220.5"/>
    <n v="15"/>
    <n v="751"/>
    <n v="651"/>
    <x v="225"/>
    <x v="4"/>
  </r>
  <r>
    <d v="2020-05-26T00:00:00"/>
    <x v="9"/>
    <n v="17391"/>
    <n v="1489132.5"/>
    <n v="17"/>
    <n v="1140"/>
    <n v="1016"/>
    <x v="226"/>
    <x v="0"/>
  </r>
  <r>
    <d v="2020-05-01T00:00:00"/>
    <x v="9"/>
    <n v="17113.5"/>
    <n v="1465842"/>
    <n v="15"/>
    <n v="996"/>
    <n v="888"/>
    <x v="227"/>
    <x v="4"/>
  </r>
  <r>
    <d v="2020-05-12T00:00:00"/>
    <x v="9"/>
    <n v="12802.5"/>
    <n v="1123830"/>
    <n v="15"/>
    <n v="845"/>
    <n v="743"/>
    <x v="228"/>
    <x v="1"/>
  </r>
  <r>
    <d v="2020-05-21T00:00:00"/>
    <x v="9"/>
    <n v="16554"/>
    <n v="1380751.5"/>
    <n v="17"/>
    <n v="1045"/>
    <n v="930"/>
    <x v="229"/>
    <x v="2"/>
  </r>
  <r>
    <d v="2020-05-20T00:00:00"/>
    <x v="9"/>
    <n v="17329.5"/>
    <n v="1430254.5"/>
    <n v="16"/>
    <n v="1050"/>
    <n v="938"/>
    <x v="230"/>
    <x v="2"/>
  </r>
  <r>
    <d v="2020-05-05T00:00:00"/>
    <x v="9"/>
    <n v="15987"/>
    <n v="1384179"/>
    <n v="15"/>
    <n v="922"/>
    <n v="823"/>
    <x v="231"/>
    <x v="3"/>
  </r>
  <r>
    <d v="2020-04-28T00:00:00"/>
    <x v="9"/>
    <n v="13303.5"/>
    <n v="1102887"/>
    <n v="15"/>
    <n v="780"/>
    <n v="690"/>
    <x v="232"/>
    <x v="4"/>
  </r>
  <r>
    <d v="2020-05-13T00:00:00"/>
    <x v="9"/>
    <n v="14305.5"/>
    <n v="1243507.5"/>
    <n v="15"/>
    <n v="898"/>
    <n v="795"/>
    <x v="233"/>
    <x v="1"/>
  </r>
  <r>
    <d v="2020-05-03T00:00:00"/>
    <x v="9"/>
    <n v="12924"/>
    <n v="1120009.5"/>
    <n v="15"/>
    <n v="784"/>
    <n v="696"/>
    <x v="234"/>
    <x v="4"/>
  </r>
  <r>
    <d v="2020-05-06T00:00:00"/>
    <x v="9"/>
    <n v="14061"/>
    <n v="1221057"/>
    <n v="15"/>
    <n v="839"/>
    <n v="733"/>
    <x v="235"/>
    <x v="3"/>
  </r>
  <r>
    <d v="2020-05-23T00:00:00"/>
    <x v="9"/>
    <n v="21958.5"/>
    <n v="1854001.5"/>
    <n v="17"/>
    <n v="1294"/>
    <n v="1155"/>
    <x v="236"/>
    <x v="2"/>
  </r>
  <r>
    <d v="2020-05-25T00:00:00"/>
    <x v="9"/>
    <n v="17211"/>
    <n v="1507867.5"/>
    <n v="17"/>
    <n v="1142"/>
    <n v="1020"/>
    <x v="237"/>
    <x v="0"/>
  </r>
  <r>
    <d v="2020-04-30T00:00:00"/>
    <x v="9"/>
    <n v="12753"/>
    <n v="1103068.5"/>
    <n v="15"/>
    <n v="791"/>
    <n v="691"/>
    <x v="238"/>
    <x v="4"/>
  </r>
  <r>
    <d v="2020-05-10T00:00:00"/>
    <x v="9"/>
    <n v="16435.5"/>
    <n v="1471537.5"/>
    <n v="15"/>
    <n v="950"/>
    <n v="848"/>
    <x v="239"/>
    <x v="3"/>
  </r>
  <r>
    <d v="2020-05-08T00:00:00"/>
    <x v="9"/>
    <n v="14494.5"/>
    <n v="1269786"/>
    <n v="15"/>
    <n v="879"/>
    <n v="768"/>
    <x v="240"/>
    <x v="3"/>
  </r>
  <r>
    <d v="2020-05-07T00:00:00"/>
    <x v="9"/>
    <n v="12705"/>
    <n v="1123894.5"/>
    <n v="15"/>
    <n v="805"/>
    <n v="703"/>
    <x v="241"/>
    <x v="3"/>
  </r>
  <r>
    <d v="2020-05-24T00:00:00"/>
    <x v="9"/>
    <n v="18075"/>
    <n v="1548099"/>
    <n v="17"/>
    <n v="1128"/>
    <n v="1001"/>
    <x v="242"/>
    <x v="2"/>
  </r>
  <r>
    <d v="2020-05-16T00:00:00"/>
    <x v="10"/>
    <n v="13120.5"/>
    <n v="1215033"/>
    <n v="15"/>
    <n v="747"/>
    <n v="647"/>
    <x v="243"/>
    <x v="1"/>
  </r>
  <r>
    <d v="2020-05-19T00:00:00"/>
    <x v="10"/>
    <n v="16237.5"/>
    <n v="1403047.5"/>
    <n v="15"/>
    <n v="930"/>
    <n v="827"/>
    <x v="244"/>
    <x v="2"/>
  </r>
  <r>
    <d v="2020-05-17T00:00:00"/>
    <x v="10"/>
    <n v="11967"/>
    <n v="1060489.5"/>
    <n v="15"/>
    <n v="692"/>
    <n v="591"/>
    <x v="245"/>
    <x v="1"/>
  </r>
  <r>
    <d v="2020-05-09T00:00:00"/>
    <x v="10"/>
    <n v="12037.5"/>
    <n v="1081216.5"/>
    <n v="15"/>
    <n v="623"/>
    <n v="535"/>
    <x v="246"/>
    <x v="3"/>
  </r>
  <r>
    <d v="2020-05-04T00:00:00"/>
    <x v="10"/>
    <n v="7087.5"/>
    <n v="610855.5"/>
    <n v="15"/>
    <n v="390"/>
    <n v="315"/>
    <x v="247"/>
    <x v="3"/>
  </r>
  <r>
    <d v="2020-04-29T00:00:00"/>
    <x v="11"/>
    <n v="25816.5"/>
    <n v="2360914.5"/>
    <n v="18"/>
    <n v="1599"/>
    <n v="1450"/>
    <x v="248"/>
    <x v="4"/>
  </r>
  <r>
    <d v="2020-05-02T00:00:00"/>
    <x v="10"/>
    <n v="4624.5"/>
    <n v="433243.5"/>
    <n v="15"/>
    <n v="274"/>
    <n v="203"/>
    <x v="249"/>
    <x v="4"/>
  </r>
  <r>
    <d v="2020-05-26T00:00:00"/>
    <x v="10"/>
    <n v="12259.5"/>
    <n v="1152054"/>
    <n v="15"/>
    <n v="812"/>
    <n v="711"/>
    <x v="250"/>
    <x v="0"/>
  </r>
  <r>
    <d v="2020-05-01T00:00:00"/>
    <x v="10"/>
    <n v="5446.5"/>
    <n v="505572"/>
    <n v="15"/>
    <n v="294"/>
    <n v="225"/>
    <x v="251"/>
    <x v="4"/>
  </r>
  <r>
    <d v="2020-05-12T00:00:00"/>
    <x v="10"/>
    <n v="11296.5"/>
    <n v="989632.5"/>
    <n v="15"/>
    <n v="624"/>
    <n v="538"/>
    <x v="252"/>
    <x v="1"/>
  </r>
  <r>
    <d v="2020-05-21T00:00:00"/>
    <x v="10"/>
    <n v="12135"/>
    <n v="1103623.5"/>
    <n v="15"/>
    <n v="749"/>
    <n v="652"/>
    <x v="253"/>
    <x v="2"/>
  </r>
  <r>
    <d v="2020-05-20T00:00:00"/>
    <x v="10"/>
    <n v="12630"/>
    <n v="1104858"/>
    <n v="15"/>
    <n v="760"/>
    <n v="664"/>
    <x v="254"/>
    <x v="2"/>
  </r>
  <r>
    <d v="2020-05-05T00:00:00"/>
    <x v="10"/>
    <n v="8223"/>
    <n v="694593"/>
    <n v="15"/>
    <n v="455"/>
    <n v="381"/>
    <x v="255"/>
    <x v="3"/>
  </r>
  <r>
    <d v="2020-04-28T00:00:00"/>
    <x v="11"/>
    <n v="25149"/>
    <n v="2277072"/>
    <n v="18"/>
    <n v="1505"/>
    <n v="1368"/>
    <x v="256"/>
    <x v="4"/>
  </r>
  <r>
    <d v="2020-05-13T00:00:00"/>
    <x v="10"/>
    <n v="10401"/>
    <n v="949912.5"/>
    <n v="15"/>
    <n v="599"/>
    <n v="515"/>
    <x v="257"/>
    <x v="1"/>
  </r>
  <r>
    <d v="2020-05-31T00:00:00"/>
    <x v="9"/>
    <n v="17689.5"/>
    <n v="1592119.5"/>
    <n v="17"/>
    <n v="1186"/>
    <n v="1054"/>
    <x v="258"/>
    <x v="0"/>
  </r>
  <r>
    <d v="2020-05-03T00:00:00"/>
    <x v="10"/>
    <n v="8127"/>
    <n v="665302.5"/>
    <n v="15"/>
    <n v="455"/>
    <n v="384"/>
    <x v="259"/>
    <x v="4"/>
  </r>
  <r>
    <d v="2020-05-30T00:00:00"/>
    <x v="9"/>
    <n v="27250.5"/>
    <n v="2457252"/>
    <n v="17"/>
    <n v="1697"/>
    <n v="1499"/>
    <x v="260"/>
    <x v="0"/>
  </r>
  <r>
    <d v="2020-05-06T00:00:00"/>
    <x v="10"/>
    <n v="8464.5"/>
    <n v="739291.5"/>
    <n v="15"/>
    <n v="467"/>
    <n v="389"/>
    <x v="261"/>
    <x v="3"/>
  </r>
  <r>
    <d v="2020-05-23T00:00:00"/>
    <x v="10"/>
    <n v="14167.5"/>
    <n v="1315075.5"/>
    <n v="15"/>
    <n v="840"/>
    <n v="725"/>
    <x v="262"/>
    <x v="2"/>
  </r>
  <r>
    <d v="2020-05-28T00:00:00"/>
    <x v="9"/>
    <n v="16500"/>
    <n v="1487928"/>
    <n v="17"/>
    <n v="1097"/>
    <n v="968"/>
    <x v="263"/>
    <x v="0"/>
  </r>
  <r>
    <d v="2020-05-25T00:00:00"/>
    <x v="10"/>
    <n v="13260"/>
    <n v="1230687"/>
    <n v="15"/>
    <n v="835"/>
    <n v="736"/>
    <x v="264"/>
    <x v="0"/>
  </r>
  <r>
    <d v="2020-04-30T00:00:00"/>
    <x v="10"/>
    <n v="4285.5"/>
    <n v="404691"/>
    <n v="15"/>
    <n v="262"/>
    <n v="195"/>
    <x v="265"/>
    <x v="4"/>
  </r>
  <r>
    <d v="2020-05-10T00:00:00"/>
    <x v="10"/>
    <n v="13440"/>
    <n v="1198285.5"/>
    <n v="15"/>
    <n v="706"/>
    <n v="608"/>
    <x v="266"/>
    <x v="3"/>
  </r>
  <r>
    <d v="2020-05-08T00:00:00"/>
    <x v="10"/>
    <n v="9058.5"/>
    <n v="798759"/>
    <n v="15"/>
    <n v="492"/>
    <n v="412"/>
    <x v="267"/>
    <x v="3"/>
  </r>
  <r>
    <d v="2020-05-07T00:00:00"/>
    <x v="10"/>
    <n v="8719.5"/>
    <n v="769276.5"/>
    <n v="15"/>
    <n v="480"/>
    <n v="398"/>
    <x v="268"/>
    <x v="3"/>
  </r>
  <r>
    <d v="2020-05-24T00:00:00"/>
    <x v="10"/>
    <n v="12666"/>
    <n v="1184865"/>
    <n v="15"/>
    <n v="779"/>
    <n v="673"/>
    <x v="269"/>
    <x v="2"/>
  </r>
  <r>
    <d v="2020-05-16T00:00:00"/>
    <x v="11"/>
    <n v="34563"/>
    <n v="2922883.5"/>
    <n v="19"/>
    <n v="2039"/>
    <n v="1868"/>
    <x v="270"/>
    <x v="1"/>
  </r>
  <r>
    <d v="2020-05-19T00:00:00"/>
    <x v="11"/>
    <n v="28882.5"/>
    <n v="2446530"/>
    <n v="19"/>
    <n v="1831"/>
    <n v="1667"/>
    <x v="271"/>
    <x v="2"/>
  </r>
  <r>
    <d v="2020-05-17T00:00:00"/>
    <x v="11"/>
    <n v="28275"/>
    <n v="2435632.5"/>
    <n v="19"/>
    <n v="1790"/>
    <n v="1633"/>
    <x v="272"/>
    <x v="1"/>
  </r>
  <r>
    <d v="2020-05-09T00:00:00"/>
    <x v="11"/>
    <n v="26271"/>
    <n v="2384937"/>
    <n v="19"/>
    <n v="1542"/>
    <n v="1412"/>
    <x v="273"/>
    <x v="3"/>
  </r>
  <r>
    <d v="2020-05-04T00:00:00"/>
    <x v="11"/>
    <n v="23587.5"/>
    <n v="2155668"/>
    <n v="19"/>
    <n v="1479"/>
    <n v="1346"/>
    <x v="274"/>
    <x v="3"/>
  </r>
  <r>
    <d v="2020-05-02T00:00:00"/>
    <x v="11"/>
    <n v="18427.5"/>
    <n v="1682851.5"/>
    <n v="19"/>
    <n v="1206"/>
    <n v="1080"/>
    <x v="275"/>
    <x v="4"/>
  </r>
  <r>
    <d v="2020-05-26T00:00:00"/>
    <x v="11"/>
    <n v="27156"/>
    <n v="2410803"/>
    <n v="20"/>
    <n v="1814"/>
    <n v="1655"/>
    <x v="276"/>
    <x v="0"/>
  </r>
  <r>
    <d v="2020-05-01T00:00:00"/>
    <x v="11"/>
    <n v="35190"/>
    <n v="3168510"/>
    <n v="19"/>
    <n v="1987"/>
    <n v="1791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650"/>
    <n v="1505"/>
    <x v="279"/>
    <x v="2"/>
  </r>
  <r>
    <d v="2020-05-20T00:00:00"/>
    <x v="11"/>
    <n v="28849.5"/>
    <n v="2520759"/>
    <n v="19"/>
    <n v="1823"/>
    <n v="1678"/>
    <x v="280"/>
    <x v="2"/>
  </r>
  <r>
    <d v="2020-05-05T00:00:00"/>
    <x v="11"/>
    <n v="26367"/>
    <n v="2380333.5"/>
    <n v="19"/>
    <n v="1622"/>
    <n v="1482"/>
    <x v="281"/>
    <x v="3"/>
  </r>
  <r>
    <d v="2020-05-13T00:00:00"/>
    <x v="11"/>
    <n v="25539"/>
    <n v="2263651.5"/>
    <n v="19"/>
    <n v="1605"/>
    <n v="1447"/>
    <x v="282"/>
    <x v="1"/>
  </r>
  <r>
    <d v="2020-05-31T00:00:00"/>
    <x v="10"/>
    <n v="14808"/>
    <n v="1336789.5"/>
    <n v="16"/>
    <n v="917"/>
    <n v="802"/>
    <x v="283"/>
    <x v="0"/>
  </r>
  <r>
    <d v="2020-05-03T00:00:00"/>
    <x v="11"/>
    <n v="21343.5"/>
    <n v="1906557"/>
    <n v="19"/>
    <n v="1314"/>
    <n v="1192"/>
    <x v="284"/>
    <x v="4"/>
  </r>
  <r>
    <d v="2020-05-30T00:00:00"/>
    <x v="10"/>
    <n v="17946"/>
    <n v="1609090.5"/>
    <n v="16"/>
    <n v="1048"/>
    <n v="918"/>
    <x v="285"/>
    <x v="0"/>
  </r>
  <r>
    <d v="2020-05-06T00:00:00"/>
    <x v="11"/>
    <n v="24337.5"/>
    <n v="2159350.5"/>
    <n v="19"/>
    <n v="1509"/>
    <n v="1374"/>
    <x v="286"/>
    <x v="3"/>
  </r>
  <r>
    <d v="2020-05-23T00:00:00"/>
    <x v="11"/>
    <n v="36997.5"/>
    <n v="3089140.5"/>
    <n v="19"/>
    <n v="2195"/>
    <n v="1999"/>
    <x v="287"/>
    <x v="2"/>
  </r>
  <r>
    <d v="2020-05-28T00:00:00"/>
    <x v="10"/>
    <n v="13864.5"/>
    <n v="1239747"/>
    <n v="16"/>
    <n v="876"/>
    <n v="762"/>
    <x v="288"/>
    <x v="0"/>
  </r>
  <r>
    <d v="2020-05-25T00:00:00"/>
    <x v="11"/>
    <n v="28494"/>
    <n v="2512803"/>
    <n v="20"/>
    <n v="1899"/>
    <n v="1738"/>
    <x v="289"/>
    <x v="0"/>
  </r>
  <r>
    <d v="2020-04-30T00:00:00"/>
    <x v="11"/>
    <n v="27883.5"/>
    <n v="2560080"/>
    <n v="19"/>
    <n v="1662"/>
    <n v="1506"/>
    <x v="290"/>
    <x v="4"/>
  </r>
  <r>
    <d v="2020-05-10T00:00:00"/>
    <x v="11"/>
    <n v="31224"/>
    <n v="2767270.5"/>
    <n v="19"/>
    <n v="1836"/>
    <n v="1680"/>
    <x v="291"/>
    <x v="3"/>
  </r>
  <r>
    <d v="2020-05-08T00:00:00"/>
    <x v="11"/>
    <n v="25020"/>
    <n v="2235960"/>
    <n v="19"/>
    <n v="1520"/>
    <n v="1380"/>
    <x v="292"/>
    <x v="3"/>
  </r>
  <r>
    <d v="2020-05-07T00:00:00"/>
    <x v="11"/>
    <n v="26184"/>
    <n v="2308336.5"/>
    <n v="19"/>
    <n v="1580"/>
    <n v="1435"/>
    <x v="293"/>
    <x v="3"/>
  </r>
  <r>
    <d v="2020-05-24T00:00:00"/>
    <x v="11"/>
    <n v="29824.5"/>
    <n v="2526909"/>
    <n v="19"/>
    <n v="1868"/>
    <n v="1706"/>
    <x v="294"/>
    <x v="2"/>
  </r>
  <r>
    <d v="2020-04-29T00:00:00"/>
    <x v="12"/>
    <n v="208351.5"/>
    <n v="21615333"/>
    <n v="59"/>
    <n v="13186"/>
    <n v="12251"/>
    <x v="295"/>
    <x v="4"/>
  </r>
  <r>
    <d v="2020-04-28T00:00:00"/>
    <x v="12"/>
    <n v="204637.5"/>
    <n v="21114898.5"/>
    <n v="59"/>
    <n v="12943"/>
    <n v="12072"/>
    <x v="296"/>
    <x v="4"/>
  </r>
  <r>
    <d v="2020-05-31T00:00:00"/>
    <x v="11"/>
    <n v="31372.5"/>
    <n v="2794324.5"/>
    <n v="21"/>
    <n v="2056"/>
    <n v="1879"/>
    <x v="297"/>
    <x v="0"/>
  </r>
  <r>
    <d v="2020-05-30T00:00:00"/>
    <x v="11"/>
    <n v="34681.5"/>
    <n v="3005334"/>
    <n v="20"/>
    <n v="2174"/>
    <n v="1957"/>
    <x v="298"/>
    <x v="0"/>
  </r>
  <r>
    <d v="2020-05-28T00:00:00"/>
    <x v="11"/>
    <n v="28197"/>
    <n v="2559211.5"/>
    <n v="20"/>
    <n v="1875"/>
    <n v="1701"/>
    <x v="299"/>
    <x v="0"/>
  </r>
  <r>
    <d v="2020-05-16T00:00:00"/>
    <x v="12"/>
    <n v="236551.5"/>
    <n v="23689383"/>
    <n v="60"/>
    <n v="14049"/>
    <n v="13118"/>
    <x v="300"/>
    <x v="1"/>
  </r>
  <r>
    <d v="2020-05-19T00:00:00"/>
    <x v="12"/>
    <n v="223597.5"/>
    <n v="21945858"/>
    <n v="60"/>
    <n v="13867"/>
    <n v="12987"/>
    <x v="301"/>
    <x v="2"/>
  </r>
  <r>
    <d v="2020-05-17T00:00:00"/>
    <x v="12"/>
    <n v="193363.5"/>
    <n v="19546386"/>
    <n v="60"/>
    <n v="11698"/>
    <n v="10989"/>
    <x v="302"/>
    <x v="1"/>
  </r>
  <r>
    <d v="2020-05-09T00:00:00"/>
    <x v="12"/>
    <n v="188319"/>
    <n v="19218631.5"/>
    <n v="59"/>
    <n v="12016"/>
    <n v="11137"/>
    <x v="303"/>
    <x v="3"/>
  </r>
  <r>
    <d v="2020-05-04T00:00:00"/>
    <x v="12"/>
    <n v="237544.5"/>
    <n v="24292218"/>
    <n v="59"/>
    <n v="14423"/>
    <n v="13432"/>
    <x v="304"/>
    <x v="3"/>
  </r>
  <r>
    <d v="2020-04-29T00:00:00"/>
    <x v="13"/>
    <n v="203209.5"/>
    <n v="20871391.5"/>
    <n v="54"/>
    <n v="12747"/>
    <n v="11884"/>
    <x v="305"/>
    <x v="4"/>
  </r>
  <r>
    <d v="2020-05-02T00:00:00"/>
    <x v="12"/>
    <n v="185979"/>
    <n v="19625364"/>
    <n v="59"/>
    <n v="12429"/>
    <n v="11477"/>
    <x v="306"/>
    <x v="4"/>
  </r>
  <r>
    <d v="2020-05-26T00:00:00"/>
    <x v="12"/>
    <n v="244905"/>
    <n v="25163431.5"/>
    <n v="59"/>
    <n v="15369"/>
    <n v="14299"/>
    <x v="307"/>
    <x v="0"/>
  </r>
  <r>
    <d v="2020-05-01T00:00:00"/>
    <x v="12"/>
    <n v="239409"/>
    <n v="25413351"/>
    <n v="59"/>
    <n v="15222"/>
    <n v="13873"/>
    <x v="308"/>
    <x v="4"/>
  </r>
  <r>
    <d v="2020-05-12T00:00:00"/>
    <x v="12"/>
    <n v="192886.5"/>
    <n v="19205179.5"/>
    <n v="60"/>
    <n v="12000"/>
    <n v="11194"/>
    <x v="309"/>
    <x v="1"/>
  </r>
  <r>
    <d v="2020-05-21T00:00:00"/>
    <x v="12"/>
    <n v="224233.5"/>
    <n v="22253295"/>
    <n v="60"/>
    <n v="14005"/>
    <n v="13002"/>
    <x v="310"/>
    <x v="2"/>
  </r>
  <r>
    <d v="2020-05-20T00:00:00"/>
    <x v="12"/>
    <n v="219622.5"/>
    <n v="21959286"/>
    <n v="60"/>
    <n v="13792"/>
    <n v="12834"/>
    <x v="311"/>
    <x v="2"/>
  </r>
  <r>
    <d v="2020-05-05T00:00:00"/>
    <x v="12"/>
    <n v="213582"/>
    <n v="21919435.5"/>
    <n v="59"/>
    <n v="13469"/>
    <n v="12486"/>
    <x v="312"/>
    <x v="3"/>
  </r>
  <r>
    <d v="2020-04-28T00:00:00"/>
    <x v="13"/>
    <n v="195705"/>
    <n v="20003263.5"/>
    <n v="54"/>
    <n v="12306"/>
    <n v="11532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59"/>
    <n v="15277"/>
    <n v="14163"/>
    <x v="315"/>
    <x v="4"/>
  </r>
  <r>
    <d v="2020-05-06T00:00:00"/>
    <x v="12"/>
    <n v="224779.5"/>
    <n v="23032992"/>
    <n v="59"/>
    <n v="14103"/>
    <n v="13118"/>
    <x v="316"/>
    <x v="3"/>
  </r>
  <r>
    <d v="2020-05-23T00:00:00"/>
    <x v="12"/>
    <n v="292018.5"/>
    <n v="28590910.5"/>
    <n v="60"/>
    <n v="17295"/>
    <n v="16010"/>
    <x v="317"/>
    <x v="2"/>
  </r>
  <r>
    <d v="2020-05-25T00:00:00"/>
    <x v="12"/>
    <n v="198751.5"/>
    <n v="20582743.5"/>
    <n v="59"/>
    <n v="12983"/>
    <n v="12056"/>
    <x v="318"/>
    <x v="0"/>
  </r>
  <r>
    <d v="2020-04-30T00:00:00"/>
    <x v="12"/>
    <n v="214386"/>
    <n v="22530000"/>
    <n v="59"/>
    <n v="13251"/>
    <n v="12255"/>
    <x v="319"/>
    <x v="4"/>
  </r>
  <r>
    <d v="2020-05-10T00:00:00"/>
    <x v="12"/>
    <n v="243825"/>
    <n v="24890404.5"/>
    <n v="59"/>
    <n v="14569"/>
    <n v="13566"/>
    <x v="320"/>
    <x v="3"/>
  </r>
  <r>
    <d v="2020-05-08T00:00:00"/>
    <x v="12"/>
    <n v="232701"/>
    <n v="23881948.5"/>
    <n v="59"/>
    <n v="14098"/>
    <n v="13106"/>
    <x v="321"/>
    <x v="3"/>
  </r>
  <r>
    <d v="2020-05-07T00:00:00"/>
    <x v="12"/>
    <n v="219411"/>
    <n v="22460130"/>
    <n v="59"/>
    <n v="13495"/>
    <n v="12517"/>
    <x v="322"/>
    <x v="3"/>
  </r>
  <r>
    <d v="2020-05-24T00:00:00"/>
    <x v="12"/>
    <n v="200029.5"/>
    <n v="19959801"/>
    <n v="60"/>
    <n v="12822"/>
    <n v="11916"/>
    <x v="323"/>
    <x v="2"/>
  </r>
  <r>
    <d v="2020-05-16T00:00:00"/>
    <x v="13"/>
    <n v="225480"/>
    <n v="22355338.5"/>
    <n v="54"/>
    <n v="13170"/>
    <n v="12299"/>
    <x v="324"/>
    <x v="1"/>
  </r>
  <r>
    <d v="2020-05-19T00:00:00"/>
    <x v="13"/>
    <n v="211453.5"/>
    <n v="20590072.5"/>
    <n v="54"/>
    <n v="13070"/>
    <n v="12244"/>
    <x v="325"/>
    <x v="2"/>
  </r>
  <r>
    <d v="2020-05-17T00:00:00"/>
    <x v="13"/>
    <n v="184801.5"/>
    <n v="18449091"/>
    <n v="54"/>
    <n v="11128"/>
    <n v="10467"/>
    <x v="326"/>
    <x v="1"/>
  </r>
  <r>
    <d v="2020-05-09T00:00:00"/>
    <x v="13"/>
    <n v="177976.5"/>
    <n v="18085798.5"/>
    <n v="54"/>
    <n v="11288"/>
    <n v="10492"/>
    <x v="327"/>
    <x v="3"/>
  </r>
  <r>
    <d v="2020-05-04T00:00:00"/>
    <x v="13"/>
    <n v="223617"/>
    <n v="22796827.5"/>
    <n v="54"/>
    <n v="13606"/>
    <n v="12697"/>
    <x v="328"/>
    <x v="3"/>
  </r>
  <r>
    <d v="2020-05-02T00:00:00"/>
    <x v="13"/>
    <n v="176397"/>
    <n v="18625921.5"/>
    <n v="54"/>
    <n v="11622"/>
    <n v="10754"/>
    <x v="329"/>
    <x v="4"/>
  </r>
  <r>
    <d v="2020-05-26T00:00:00"/>
    <x v="13"/>
    <n v="232369.5"/>
    <n v="23856345"/>
    <n v="54"/>
    <n v="14482"/>
    <n v="13510"/>
    <x v="330"/>
    <x v="0"/>
  </r>
  <r>
    <d v="2020-05-01T00:00:00"/>
    <x v="13"/>
    <n v="226540.5"/>
    <n v="23953536"/>
    <n v="54"/>
    <n v="14205"/>
    <n v="13026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3240"/>
    <n v="12360"/>
    <x v="333"/>
    <x v="2"/>
  </r>
  <r>
    <d v="2020-05-20T00:00:00"/>
    <x v="13"/>
    <n v="214885.5"/>
    <n v="21411349.5"/>
    <n v="54"/>
    <n v="13298"/>
    <n v="12428"/>
    <x v="334"/>
    <x v="2"/>
  </r>
  <r>
    <d v="2020-05-05T00:00:00"/>
    <x v="13"/>
    <n v="203832"/>
    <n v="20880142.5"/>
    <n v="54"/>
    <n v="12775"/>
    <n v="11887"/>
    <x v="335"/>
    <x v="3"/>
  </r>
  <r>
    <d v="2020-05-13T00:00:00"/>
    <x v="13"/>
    <n v="188662.5"/>
    <n v="18784000.5"/>
    <n v="54"/>
    <n v="11522"/>
    <n v="10803"/>
    <x v="336"/>
    <x v="1"/>
  </r>
  <r>
    <d v="2020-05-31T00:00:00"/>
    <x v="12"/>
    <n v="215277"/>
    <n v="21585316.5"/>
    <n v="59"/>
    <n v="13684"/>
    <n v="12690"/>
    <x v="337"/>
    <x v="0"/>
  </r>
  <r>
    <d v="2020-05-03T00:00:00"/>
    <x v="13"/>
    <n v="248148"/>
    <n v="25519072.5"/>
    <n v="54"/>
    <n v="14823"/>
    <n v="13751"/>
    <x v="338"/>
    <x v="4"/>
  </r>
  <r>
    <d v="2020-05-30T00:00:00"/>
    <x v="12"/>
    <n v="246414"/>
    <n v="24527245.5"/>
    <n v="59"/>
    <n v="15030"/>
    <n v="13956"/>
    <x v="339"/>
    <x v="0"/>
  </r>
  <r>
    <d v="2020-05-06T00:00:00"/>
    <x v="13"/>
    <n v="216498"/>
    <n v="22126444.5"/>
    <n v="54"/>
    <n v="13406"/>
    <n v="12518"/>
    <x v="340"/>
    <x v="3"/>
  </r>
  <r>
    <d v="2020-05-23T00:00:00"/>
    <x v="13"/>
    <n v="275793"/>
    <n v="26806626"/>
    <n v="54"/>
    <n v="16221"/>
    <n v="15065"/>
    <x v="341"/>
    <x v="2"/>
  </r>
  <r>
    <d v="2020-05-28T00:00:00"/>
    <x v="12"/>
    <n v="199753.5"/>
    <n v="20535733.5"/>
    <n v="60"/>
    <n v="12854"/>
    <n v="11954"/>
    <x v="342"/>
    <x v="0"/>
  </r>
  <r>
    <d v="2020-05-25T00:00:00"/>
    <x v="13"/>
    <n v="192948"/>
    <n v="19806927"/>
    <n v="54"/>
    <n v="12336"/>
    <n v="11519"/>
    <x v="343"/>
    <x v="0"/>
  </r>
  <r>
    <d v="2020-04-30T00:00:00"/>
    <x v="13"/>
    <n v="206038.5"/>
    <n v="21740460"/>
    <n v="54"/>
    <n v="12817"/>
    <n v="11865"/>
    <x v="344"/>
    <x v="4"/>
  </r>
  <r>
    <d v="2020-05-10T00:00:00"/>
    <x v="13"/>
    <n v="231559.5"/>
    <n v="23443725"/>
    <n v="54"/>
    <n v="13832"/>
    <n v="12864"/>
    <x v="345"/>
    <x v="3"/>
  </r>
  <r>
    <d v="2020-05-08T00:00:00"/>
    <x v="13"/>
    <n v="225076.5"/>
    <n v="22846078.5"/>
    <n v="54"/>
    <n v="13563"/>
    <n v="12604"/>
    <x v="346"/>
    <x v="3"/>
  </r>
  <r>
    <d v="2020-05-07T00:00:00"/>
    <x v="13"/>
    <n v="209415"/>
    <n v="21463023"/>
    <n v="54"/>
    <n v="12743"/>
    <n v="11858"/>
    <x v="347"/>
    <x v="3"/>
  </r>
  <r>
    <d v="2020-05-24T00:00:00"/>
    <x v="13"/>
    <n v="193719"/>
    <n v="19071117"/>
    <n v="54"/>
    <n v="12211"/>
    <n v="11427"/>
    <x v="348"/>
    <x v="2"/>
  </r>
  <r>
    <d v="2020-04-29T00:00:00"/>
    <x v="14"/>
    <n v="12250.5"/>
    <n v="981519"/>
    <n v="15"/>
    <n v="659"/>
    <n v="575"/>
    <x v="349"/>
    <x v="4"/>
  </r>
  <r>
    <d v="2020-04-28T00:00:00"/>
    <x v="14"/>
    <n v="12541.5"/>
    <n v="992541"/>
    <n v="15"/>
    <n v="636"/>
    <n v="547"/>
    <x v="350"/>
    <x v="4"/>
  </r>
  <r>
    <d v="2020-05-31T00:00:00"/>
    <x v="13"/>
    <n v="206758.5"/>
    <n v="20717248.5"/>
    <n v="54"/>
    <n v="13106"/>
    <n v="12164"/>
    <x v="351"/>
    <x v="0"/>
  </r>
  <r>
    <d v="2020-05-30T00:00:00"/>
    <x v="13"/>
    <n v="244734"/>
    <n v="24151980"/>
    <n v="54"/>
    <n v="14590"/>
    <n v="13551"/>
    <x v="352"/>
    <x v="0"/>
  </r>
  <r>
    <d v="2020-05-28T00:00:00"/>
    <x v="13"/>
    <n v="191641.5"/>
    <n v="19549036.5"/>
    <n v="54"/>
    <n v="12409"/>
    <n v="11582"/>
    <x v="353"/>
    <x v="0"/>
  </r>
  <r>
    <d v="2020-05-16T00:00:00"/>
    <x v="14"/>
    <n v="16368"/>
    <n v="1316350.5"/>
    <n v="16"/>
    <n v="920"/>
    <n v="818"/>
    <x v="354"/>
    <x v="1"/>
  </r>
  <r>
    <d v="2020-05-19T00:00:00"/>
    <x v="14"/>
    <n v="14427"/>
    <n v="1126810.5"/>
    <n v="17"/>
    <n v="857"/>
    <n v="757"/>
    <x v="355"/>
    <x v="2"/>
  </r>
  <r>
    <d v="2020-05-17T00:00:00"/>
    <x v="14"/>
    <n v="13440"/>
    <n v="1157529"/>
    <n v="16"/>
    <n v="859"/>
    <n v="746"/>
    <x v="356"/>
    <x v="1"/>
  </r>
  <r>
    <d v="2020-05-09T00:00:00"/>
    <x v="14"/>
    <n v="11745"/>
    <n v="955801.5"/>
    <n v="15"/>
    <n v="654"/>
    <n v="570"/>
    <x v="357"/>
    <x v="3"/>
  </r>
  <r>
    <d v="2020-05-04T00:00:00"/>
    <x v="14"/>
    <n v="11062.5"/>
    <n v="906343.5"/>
    <n v="15"/>
    <n v="622"/>
    <n v="538"/>
    <x v="358"/>
    <x v="3"/>
  </r>
  <r>
    <d v="2020-05-02T00:00:00"/>
    <x v="14"/>
    <n v="10018.5"/>
    <n v="816859.5"/>
    <n v="15"/>
    <n v="567"/>
    <n v="493"/>
    <x v="359"/>
    <x v="4"/>
  </r>
  <r>
    <d v="2020-05-26T00:00:00"/>
    <x v="15"/>
    <n v="10437"/>
    <n v="833815.5"/>
    <n v="7"/>
    <n v="577"/>
    <n v="389"/>
    <x v="360"/>
    <x v="0"/>
  </r>
  <r>
    <d v="2020-05-01T00:00:00"/>
    <x v="14"/>
    <n v="13644"/>
    <n v="1134444"/>
    <n v="15"/>
    <n v="721"/>
    <n v="625"/>
    <x v="361"/>
    <x v="4"/>
  </r>
  <r>
    <d v="2020-05-12T00:00:00"/>
    <x v="14"/>
    <n v="13443"/>
    <n v="1092277.5"/>
    <n v="15"/>
    <n v="750"/>
    <n v="659"/>
    <x v="362"/>
    <x v="1"/>
  </r>
  <r>
    <d v="2020-05-21T00:00:00"/>
    <x v="14"/>
    <n v="14182.5"/>
    <n v="1172574"/>
    <n v="18"/>
    <n v="888"/>
    <n v="786"/>
    <x v="363"/>
    <x v="2"/>
  </r>
  <r>
    <d v="2020-05-20T00:00:00"/>
    <x v="14"/>
    <n v="14928"/>
    <n v="1217749.5"/>
    <n v="17"/>
    <n v="890"/>
    <n v="794"/>
    <x v="364"/>
    <x v="2"/>
  </r>
  <r>
    <d v="2020-05-05T00:00:00"/>
    <x v="14"/>
    <n v="13941"/>
    <n v="1145575.5"/>
    <n v="15"/>
    <n v="750"/>
    <n v="658"/>
    <x v="365"/>
    <x v="3"/>
  </r>
  <r>
    <d v="2020-05-13T00:00:00"/>
    <x v="14"/>
    <n v="14643"/>
    <n v="1172691"/>
    <n v="15"/>
    <n v="854"/>
    <n v="756"/>
    <x v="366"/>
    <x v="1"/>
  </r>
  <r>
    <d v="2020-05-03T00:00:00"/>
    <x v="14"/>
    <n v="10032"/>
    <n v="816150"/>
    <n v="15"/>
    <n v="585"/>
    <n v="502"/>
    <x v="367"/>
    <x v="4"/>
  </r>
  <r>
    <d v="2020-05-06T00:00:00"/>
    <x v="14"/>
    <n v="12468"/>
    <n v="1016566.5"/>
    <n v="15"/>
    <n v="701"/>
    <n v="611"/>
    <x v="368"/>
    <x v="3"/>
  </r>
  <r>
    <d v="2020-05-23T00:00:00"/>
    <x v="14"/>
    <n v="17943"/>
    <n v="1457391"/>
    <n v="18"/>
    <n v="1031"/>
    <n v="918"/>
    <x v="369"/>
    <x v="2"/>
  </r>
  <r>
    <d v="2020-05-25T00:00:00"/>
    <x v="14"/>
    <n v="15807"/>
    <n v="1326705"/>
    <n v="18"/>
    <n v="989"/>
    <n v="887"/>
    <x v="370"/>
    <x v="0"/>
  </r>
  <r>
    <d v="2020-04-30T00:00:00"/>
    <x v="14"/>
    <n v="11976"/>
    <n v="1004511"/>
    <n v="15"/>
    <n v="644"/>
    <n v="550"/>
    <x v="371"/>
    <x v="4"/>
  </r>
  <r>
    <d v="2020-05-10T00:00:00"/>
    <x v="14"/>
    <n v="14566.5"/>
    <n v="1216557"/>
    <n v="15"/>
    <n v="792"/>
    <n v="695"/>
    <x v="372"/>
    <x v="3"/>
  </r>
  <r>
    <d v="2020-05-08T00:00:00"/>
    <x v="14"/>
    <n v="12976.5"/>
    <n v="1046848.5"/>
    <n v="15"/>
    <n v="703"/>
    <n v="609"/>
    <x v="373"/>
    <x v="3"/>
  </r>
  <r>
    <d v="2020-05-07T00:00:00"/>
    <x v="14"/>
    <n v="11719.5"/>
    <n v="965880"/>
    <n v="15"/>
    <n v="676"/>
    <n v="591"/>
    <x v="374"/>
    <x v="3"/>
  </r>
  <r>
    <d v="2020-05-24T00:00:00"/>
    <x v="14"/>
    <n v="17197.5"/>
    <n v="1386262.5"/>
    <n v="18"/>
    <n v="1006"/>
    <n v="904"/>
    <x v="375"/>
    <x v="2"/>
  </r>
  <r>
    <d v="2020-05-26T00:00:00"/>
    <x v="14"/>
    <n v="14419.5"/>
    <n v="1210456.5"/>
    <n v="18"/>
    <n v="914"/>
    <n v="804"/>
    <x v="376"/>
    <x v="0"/>
  </r>
  <r>
    <d v="2020-06-01T00:00:00"/>
    <x v="0"/>
    <n v="7816.5"/>
    <n v="636345"/>
    <n v="15"/>
    <n v="453"/>
    <n v="370"/>
    <x v="377"/>
    <x v="5"/>
  </r>
  <r>
    <d v="2020-05-31T00:00:00"/>
    <x v="16"/>
    <n v="6409.5"/>
    <n v="493893"/>
    <n v="9"/>
    <n v="345"/>
    <n v="255"/>
    <x v="378"/>
    <x v="0"/>
  </r>
  <r>
    <d v="2020-05-30T00:00:00"/>
    <x v="15"/>
    <n v="11220"/>
    <n v="928675.5"/>
    <n v="7"/>
    <n v="532"/>
    <n v="449"/>
    <x v="379"/>
    <x v="0"/>
  </r>
  <r>
    <d v="2020-05-29T00:00:00"/>
    <x v="0"/>
    <n v="8350.5"/>
    <n v="651237"/>
    <n v="15"/>
    <n v="400"/>
    <n v="329"/>
    <x v="380"/>
    <x v="0"/>
  </r>
  <r>
    <d v="2020-05-28T00:00:00"/>
    <x v="15"/>
    <n v="8428.5"/>
    <n v="694669.5"/>
    <n v="7"/>
    <n v="420"/>
    <n v="347"/>
    <x v="381"/>
    <x v="0"/>
  </r>
  <r>
    <d v="2020-05-27T00:00:00"/>
    <x v="1"/>
    <n v="32817"/>
    <n v="3015751.5"/>
    <n v="20"/>
    <n v="2079"/>
    <n v="1893"/>
    <x v="382"/>
    <x v="0"/>
  </r>
  <r>
    <d v="2020-05-22T00:00:00"/>
    <x v="1"/>
    <n v="36031.5"/>
    <n v="3091069.5"/>
    <n v="21"/>
    <n v="2046"/>
    <n v="1853"/>
    <x v="383"/>
    <x v="2"/>
  </r>
  <r>
    <d v="2020-05-31T00:00:00"/>
    <x v="17"/>
    <n v="5127"/>
    <n v="468835.5"/>
    <n v="6"/>
    <n v="261"/>
    <n v="188"/>
    <x v="384"/>
    <x v="0"/>
  </r>
  <r>
    <d v="2020-05-11T00:00:00"/>
    <x v="1"/>
    <n v="27187.5"/>
    <n v="2479396.5"/>
    <n v="21"/>
    <n v="1597"/>
    <n v="1457"/>
    <x v="385"/>
    <x v="1"/>
  </r>
  <r>
    <d v="2020-05-30T00:00:00"/>
    <x v="14"/>
    <n v="20688"/>
    <n v="1773154.5"/>
    <n v="18"/>
    <n v="1216"/>
    <n v="1101"/>
    <x v="386"/>
    <x v="0"/>
  </r>
  <r>
    <d v="2020-05-28T00:00:00"/>
    <x v="14"/>
    <n v="15678"/>
    <n v="1387443"/>
    <n v="18"/>
    <n v="1020"/>
    <n v="911"/>
    <x v="387"/>
    <x v="0"/>
  </r>
  <r>
    <d v="2020-05-18T00:00:00"/>
    <x v="1"/>
    <n v="31329"/>
    <n v="2826379.5"/>
    <n v="21"/>
    <n v="1834"/>
    <n v="1660"/>
    <x v="388"/>
    <x v="2"/>
  </r>
  <r>
    <d v="2020-05-14T00:00:00"/>
    <x v="1"/>
    <n v="29658"/>
    <n v="2703132"/>
    <n v="21"/>
    <n v="1706"/>
    <n v="1548"/>
    <x v="389"/>
    <x v="1"/>
  </r>
  <r>
    <d v="2020-05-15T00:00:00"/>
    <x v="1"/>
    <n v="34150.5"/>
    <n v="3038293.5"/>
    <n v="21"/>
    <n v="1926"/>
    <n v="1742"/>
    <x v="390"/>
    <x v="1"/>
  </r>
  <r>
    <d v="2020-06-01T00:00:00"/>
    <x v="1"/>
    <n v="31947"/>
    <n v="2945035.5"/>
    <n v="21"/>
    <n v="2025"/>
    <n v="1849"/>
    <x v="391"/>
    <x v="5"/>
  </r>
  <r>
    <d v="2020-05-31T00:00:00"/>
    <x v="15"/>
    <n v="10416"/>
    <n v="866023.5"/>
    <n v="7"/>
    <n v="530"/>
    <n v="447"/>
    <x v="392"/>
    <x v="0"/>
  </r>
  <r>
    <d v="2020-05-29T00:00:00"/>
    <x v="1"/>
    <n v="35431.5"/>
    <n v="3193167"/>
    <n v="20"/>
    <n v="2111"/>
    <n v="1917"/>
    <x v="393"/>
    <x v="0"/>
  </r>
  <r>
    <d v="2020-05-27T00:00:00"/>
    <x v="2"/>
    <n v="78544.5"/>
    <n v="6701083.5"/>
    <n v="31"/>
    <n v="5330"/>
    <n v="4977"/>
    <x v="394"/>
    <x v="0"/>
  </r>
  <r>
    <d v="2020-05-22T00:00:00"/>
    <x v="2"/>
    <n v="97963.5"/>
    <n v="7728465"/>
    <n v="31"/>
    <n v="5965"/>
    <n v="5533"/>
    <x v="395"/>
    <x v="2"/>
  </r>
  <r>
    <d v="2020-06-01T00:00:00"/>
    <x v="2"/>
    <n v="77269.5"/>
    <n v="6829921.5"/>
    <n v="31"/>
    <n v="5468"/>
    <n v="5081"/>
    <x v="396"/>
    <x v="5"/>
  </r>
  <r>
    <d v="2020-05-31T00:00:00"/>
    <x v="14"/>
    <n v="16143"/>
    <n v="1423410"/>
    <n v="18"/>
    <n v="1029"/>
    <n v="925"/>
    <x v="397"/>
    <x v="0"/>
  </r>
  <r>
    <d v="2020-05-11T00:00:00"/>
    <x v="2"/>
    <n v="72220.5"/>
    <n v="6398719.5"/>
    <n v="31"/>
    <n v="4826"/>
    <n v="4483"/>
    <x v="398"/>
    <x v="1"/>
  </r>
  <r>
    <d v="2020-05-18T00:00:00"/>
    <x v="2"/>
    <n v="78058.5"/>
    <n v="6609714"/>
    <n v="31"/>
    <n v="5165"/>
    <n v="4813"/>
    <x v="399"/>
    <x v="2"/>
  </r>
  <r>
    <d v="2020-05-14T00:00:00"/>
    <x v="2"/>
    <n v="70498.5"/>
    <n v="6053649"/>
    <n v="31"/>
    <n v="4695"/>
    <n v="4372"/>
    <x v="400"/>
    <x v="1"/>
  </r>
  <r>
    <d v="2020-05-15T00:00:00"/>
    <x v="2"/>
    <n v="78961.5"/>
    <n v="6876454.5"/>
    <n v="31"/>
    <n v="5184"/>
    <n v="4778"/>
    <x v="401"/>
    <x v="1"/>
  </r>
  <r>
    <d v="2020-05-27T00:00:00"/>
    <x v="3"/>
    <n v="12490.5"/>
    <n v="1054798.5"/>
    <n v="10"/>
    <n v="757"/>
    <n v="660"/>
    <x v="402"/>
    <x v="0"/>
  </r>
  <r>
    <d v="2020-05-22T00:00:00"/>
    <x v="3"/>
    <n v="18036"/>
    <n v="1455049.5"/>
    <n v="10"/>
    <n v="965"/>
    <n v="861"/>
    <x v="403"/>
    <x v="2"/>
  </r>
  <r>
    <d v="2020-06-01T00:00:00"/>
    <x v="3"/>
    <n v="11416.5"/>
    <n v="1007742"/>
    <n v="10"/>
    <n v="719"/>
    <n v="627"/>
    <x v="404"/>
    <x v="5"/>
  </r>
  <r>
    <d v="2020-05-11T00:00:00"/>
    <x v="3"/>
    <n v="9007.5"/>
    <n v="734335.5"/>
    <n v="10"/>
    <n v="494"/>
    <n v="421"/>
    <x v="405"/>
    <x v="1"/>
  </r>
  <r>
    <d v="2020-05-29T00:00:00"/>
    <x v="2"/>
    <n v="87552"/>
    <n v="7387116"/>
    <n v="31"/>
    <n v="5751"/>
    <n v="5319"/>
    <x v="406"/>
    <x v="0"/>
  </r>
  <r>
    <d v="2020-05-18T00:00:00"/>
    <x v="3"/>
    <n v="11680.5"/>
    <n v="936427.5"/>
    <n v="10"/>
    <n v="645"/>
    <n v="565"/>
    <x v="407"/>
    <x v="2"/>
  </r>
  <r>
    <d v="2020-05-14T00:00:00"/>
    <x v="3"/>
    <n v="12037.5"/>
    <n v="981564"/>
    <n v="10"/>
    <n v="627"/>
    <n v="545"/>
    <x v="408"/>
    <x v="1"/>
  </r>
  <r>
    <d v="2020-05-15T00:00:00"/>
    <x v="3"/>
    <n v="14421"/>
    <n v="1150579.5"/>
    <n v="10"/>
    <n v="743"/>
    <n v="652"/>
    <x v="409"/>
    <x v="1"/>
  </r>
  <r>
    <d v="2020-05-29T00:00:00"/>
    <x v="3"/>
    <n v="14823"/>
    <n v="1273464"/>
    <n v="10"/>
    <n v="873"/>
    <n v="770"/>
    <x v="410"/>
    <x v="0"/>
  </r>
  <r>
    <d v="2020-05-27T00:00:00"/>
    <x v="4"/>
    <n v="31257"/>
    <n v="2924133"/>
    <n v="20"/>
    <n v="2079"/>
    <n v="1856"/>
    <x v="411"/>
    <x v="0"/>
  </r>
  <r>
    <d v="2020-05-22T00:00:00"/>
    <x v="4"/>
    <n v="38074.5"/>
    <n v="3414180"/>
    <n v="20"/>
    <n v="2306"/>
    <n v="2054"/>
    <x v="412"/>
    <x v="2"/>
  </r>
  <r>
    <d v="2020-06-01T00:00:00"/>
    <x v="4"/>
    <n v="32170.5"/>
    <n v="3013512"/>
    <n v="20"/>
    <n v="2136"/>
    <n v="1899"/>
    <x v="413"/>
    <x v="5"/>
  </r>
  <r>
    <d v="2020-05-11T00:00:00"/>
    <x v="4"/>
    <n v="42397.5"/>
    <n v="3911979"/>
    <n v="19"/>
    <n v="2530"/>
    <n v="2270"/>
    <x v="414"/>
    <x v="1"/>
  </r>
  <r>
    <d v="2020-05-18T00:00:00"/>
    <x v="4"/>
    <n v="28668"/>
    <n v="2588148"/>
    <n v="19"/>
    <n v="1858"/>
    <n v="1648"/>
    <x v="415"/>
    <x v="2"/>
  </r>
  <r>
    <d v="2020-05-14T00:00:00"/>
    <x v="4"/>
    <n v="27411"/>
    <n v="2441520"/>
    <n v="19"/>
    <n v="1675"/>
    <n v="1475"/>
    <x v="416"/>
    <x v="1"/>
  </r>
  <r>
    <d v="2020-05-15T00:00:00"/>
    <x v="4"/>
    <n v="32854.5"/>
    <n v="2949078"/>
    <n v="19"/>
    <n v="1940"/>
    <n v="1715"/>
    <x v="417"/>
    <x v="1"/>
  </r>
  <r>
    <d v="2020-05-29T00:00:00"/>
    <x v="4"/>
    <n v="35346"/>
    <n v="3258054"/>
    <n v="20"/>
    <n v="2249"/>
    <n v="2000"/>
    <x v="418"/>
    <x v="0"/>
  </r>
  <r>
    <d v="2020-05-27T00:00:00"/>
    <x v="5"/>
    <n v="286558.5"/>
    <n v="29256993"/>
    <n v="129"/>
    <n v="17115"/>
    <n v="15962"/>
    <x v="419"/>
    <x v="0"/>
  </r>
  <r>
    <d v="2020-05-22T00:00:00"/>
    <x v="5"/>
    <n v="304092"/>
    <n v="29465769"/>
    <n v="129"/>
    <n v="17088"/>
    <n v="15804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9"/>
    <n v="14043"/>
    <n v="13167"/>
    <x v="422"/>
    <x v="1"/>
  </r>
  <r>
    <d v="2020-05-18T00:00:00"/>
    <x v="5"/>
    <n v="273900"/>
    <n v="27535284.147600003"/>
    <n v="129"/>
    <n v="16110"/>
    <n v="14992"/>
    <x v="423"/>
    <x v="2"/>
  </r>
  <r>
    <d v="2020-05-14T00:00:00"/>
    <x v="5"/>
    <n v="274059"/>
    <n v="28181292"/>
    <n v="129"/>
    <n v="15804"/>
    <n v="14738"/>
    <x v="424"/>
    <x v="1"/>
  </r>
  <r>
    <d v="2020-05-15T00:00:00"/>
    <x v="5"/>
    <n v="318816"/>
    <n v="32354331"/>
    <n v="129"/>
    <n v="17808"/>
    <n v="16486"/>
    <x v="425"/>
    <x v="1"/>
  </r>
  <r>
    <d v="2020-05-27T00:00:00"/>
    <x v="6"/>
    <n v="370012.5"/>
    <n v="39034861.5"/>
    <n v="124"/>
    <n v="21384"/>
    <n v="19897"/>
    <x v="426"/>
    <x v="0"/>
  </r>
  <r>
    <d v="2020-05-22T00:00:00"/>
    <x v="6"/>
    <n v="393018"/>
    <n v="39498373.5"/>
    <n v="125"/>
    <n v="21427"/>
    <n v="19799"/>
    <x v="427"/>
    <x v="2"/>
  </r>
  <r>
    <d v="2020-06-01T00:00:00"/>
    <x v="6"/>
    <n v="349699.5"/>
    <n v="37257840.18135"/>
    <n v="123"/>
    <n v="20325"/>
    <n v="18935"/>
    <x v="428"/>
    <x v="5"/>
  </r>
  <r>
    <d v="2020-05-11T00:00:00"/>
    <x v="6"/>
    <n v="318565.5"/>
    <n v="33781581"/>
    <n v="125"/>
    <n v="18066"/>
    <n v="16883"/>
    <x v="429"/>
    <x v="1"/>
  </r>
  <r>
    <d v="2020-05-29T00:00:00"/>
    <x v="5"/>
    <n v="422965.5"/>
    <n v="41767140.105000004"/>
    <n v="129"/>
    <n v="22403"/>
    <n v="20676"/>
    <x v="430"/>
    <x v="0"/>
  </r>
  <r>
    <d v="2020-05-18T00:00:00"/>
    <x v="6"/>
    <n v="355081.5"/>
    <n v="36876888"/>
    <n v="125"/>
    <n v="20449"/>
    <n v="19060"/>
    <x v="431"/>
    <x v="2"/>
  </r>
  <r>
    <d v="2020-05-14T00:00:00"/>
    <x v="6"/>
    <n v="358387.5"/>
    <n v="37963150.5"/>
    <n v="125"/>
    <n v="20247"/>
    <n v="18812"/>
    <x v="432"/>
    <x v="1"/>
  </r>
  <r>
    <d v="2020-05-15T00:00:00"/>
    <x v="6"/>
    <n v="403261.5"/>
    <n v="42271377"/>
    <n v="125"/>
    <n v="21862"/>
    <n v="20235"/>
    <x v="433"/>
    <x v="1"/>
  </r>
  <r>
    <d v="2020-05-27T00:00:00"/>
    <x v="7"/>
    <n v="69010.5"/>
    <n v="5985894"/>
    <n v="36"/>
    <n v="4951"/>
    <n v="4584"/>
    <x v="434"/>
    <x v="0"/>
  </r>
  <r>
    <d v="2020-05-22T00:00:00"/>
    <x v="7"/>
    <n v="75820.5"/>
    <n v="5943489"/>
    <n v="36"/>
    <n v="4857"/>
    <n v="4456"/>
    <x v="435"/>
    <x v="2"/>
  </r>
  <r>
    <d v="2020-06-01T00:00:00"/>
    <x v="7"/>
    <n v="64740"/>
    <n v="5800290"/>
    <n v="37"/>
    <n v="4722"/>
    <n v="4352"/>
    <x v="436"/>
    <x v="5"/>
  </r>
  <r>
    <d v="2020-05-11T00:00:00"/>
    <x v="7"/>
    <n v="59574"/>
    <n v="5178169.5"/>
    <n v="36"/>
    <n v="4150"/>
    <n v="3838"/>
    <x v="437"/>
    <x v="1"/>
  </r>
  <r>
    <d v="2020-05-29T00:00:00"/>
    <x v="6"/>
    <n v="524481"/>
    <n v="54172029"/>
    <n v="124"/>
    <n v="25828"/>
    <n v="23974"/>
    <x v="438"/>
    <x v="0"/>
  </r>
  <r>
    <d v="2020-05-18T00:00:00"/>
    <x v="7"/>
    <n v="70278"/>
    <n v="5798476.5"/>
    <n v="36"/>
    <n v="4885"/>
    <n v="4502"/>
    <x v="439"/>
    <x v="2"/>
  </r>
  <r>
    <d v="2020-05-14T00:00:00"/>
    <x v="7"/>
    <n v="63645"/>
    <n v="5366602.5"/>
    <n v="36"/>
    <n v="4285"/>
    <n v="3950"/>
    <x v="440"/>
    <x v="1"/>
  </r>
  <r>
    <d v="2020-05-15T00:00:00"/>
    <x v="7"/>
    <n v="75642"/>
    <n v="6293952"/>
    <n v="36"/>
    <n v="4862"/>
    <n v="4476"/>
    <x v="441"/>
    <x v="1"/>
  </r>
  <r>
    <d v="2020-05-27T00:00:00"/>
    <x v="8"/>
    <n v="40420.5"/>
    <n v="3780852"/>
    <n v="21"/>
    <n v="2430"/>
    <n v="2216"/>
    <x v="442"/>
    <x v="0"/>
  </r>
  <r>
    <d v="2020-05-22T00:00:00"/>
    <x v="8"/>
    <n v="53838"/>
    <n v="4840833"/>
    <n v="21"/>
    <n v="2861"/>
    <n v="2612"/>
    <x v="443"/>
    <x v="2"/>
  </r>
  <r>
    <d v="2020-06-01T00:00:00"/>
    <x v="8"/>
    <n v="40528.5"/>
    <n v="3865251"/>
    <n v="23"/>
    <n v="2531"/>
    <n v="2296"/>
    <x v="444"/>
    <x v="5"/>
  </r>
  <r>
    <d v="2020-05-11T00:00:00"/>
    <x v="8"/>
    <n v="32733"/>
    <n v="3079630.5"/>
    <n v="21"/>
    <n v="1916"/>
    <n v="1733"/>
    <x v="445"/>
    <x v="1"/>
  </r>
  <r>
    <d v="2020-05-29T00:00:00"/>
    <x v="7"/>
    <n v="84433.5"/>
    <n v="7228395"/>
    <n v="37"/>
    <n v="5672"/>
    <n v="5198"/>
    <x v="446"/>
    <x v="0"/>
  </r>
  <r>
    <d v="2020-05-18T00:00:00"/>
    <x v="8"/>
    <n v="36655.5"/>
    <n v="3360135"/>
    <n v="21"/>
    <n v="2136"/>
    <n v="1947"/>
    <x v="447"/>
    <x v="2"/>
  </r>
  <r>
    <d v="2020-05-14T00:00:00"/>
    <x v="8"/>
    <n v="33886.5"/>
    <n v="3166479"/>
    <n v="21"/>
    <n v="1993"/>
    <n v="1796"/>
    <x v="448"/>
    <x v="1"/>
  </r>
  <r>
    <d v="2020-05-15T00:00:00"/>
    <x v="8"/>
    <n v="41697"/>
    <n v="3772258.5"/>
    <n v="21"/>
    <n v="2255"/>
    <n v="2045"/>
    <x v="449"/>
    <x v="1"/>
  </r>
  <r>
    <d v="2020-05-29T00:00:00"/>
    <x v="8"/>
    <n v="44569.5"/>
    <n v="4108596"/>
    <n v="22"/>
    <n v="2597"/>
    <n v="2379"/>
    <x v="450"/>
    <x v="0"/>
  </r>
  <r>
    <d v="2020-05-27T00:00:00"/>
    <x v="9"/>
    <n v="18069"/>
    <n v="1603084.5"/>
    <n v="17"/>
    <n v="1203"/>
    <n v="1077"/>
    <x v="451"/>
    <x v="0"/>
  </r>
  <r>
    <d v="2020-05-22T00:00:00"/>
    <x v="9"/>
    <n v="21483"/>
    <n v="1774329"/>
    <n v="17"/>
    <n v="1268"/>
    <n v="1129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5"/>
    <n v="812"/>
    <n v="714"/>
    <x v="454"/>
    <x v="1"/>
  </r>
  <r>
    <d v="2020-05-18T00:00:00"/>
    <x v="9"/>
    <n v="14290.5"/>
    <n v="1246162.5"/>
    <n v="16"/>
    <n v="925"/>
    <n v="816"/>
    <x v="455"/>
    <x v="2"/>
  </r>
  <r>
    <d v="2020-05-14T00:00:00"/>
    <x v="9"/>
    <n v="14385"/>
    <n v="1223491.5"/>
    <n v="15"/>
    <n v="890"/>
    <n v="777"/>
    <x v="456"/>
    <x v="1"/>
  </r>
  <r>
    <d v="2020-05-15T00:00:00"/>
    <x v="9"/>
    <n v="16498.5"/>
    <n v="1370482.5"/>
    <n v="15"/>
    <n v="980"/>
    <n v="867"/>
    <x v="457"/>
    <x v="1"/>
  </r>
  <r>
    <d v="2020-05-27T00:00:00"/>
    <x v="10"/>
    <n v="13203"/>
    <n v="1211457"/>
    <n v="15"/>
    <n v="809"/>
    <n v="702"/>
    <x v="458"/>
    <x v="0"/>
  </r>
  <r>
    <d v="2020-05-22T00:00:00"/>
    <x v="10"/>
    <n v="15802.5"/>
    <n v="1411909.5"/>
    <n v="15"/>
    <n v="903"/>
    <n v="792"/>
    <x v="459"/>
    <x v="2"/>
  </r>
  <r>
    <d v="2020-06-01T00:00:00"/>
    <x v="10"/>
    <n v="16476"/>
    <n v="1565632.5"/>
    <n v="16"/>
    <n v="1019"/>
    <n v="895"/>
    <x v="460"/>
    <x v="5"/>
  </r>
  <r>
    <d v="2020-05-11T00:00:00"/>
    <x v="10"/>
    <n v="12654"/>
    <n v="1081158"/>
    <n v="15"/>
    <n v="684"/>
    <n v="585"/>
    <x v="461"/>
    <x v="1"/>
  </r>
  <r>
    <d v="2020-05-29T00:00:00"/>
    <x v="9"/>
    <n v="19647"/>
    <n v="1764669"/>
    <n v="17"/>
    <n v="1296"/>
    <n v="1153"/>
    <x v="462"/>
    <x v="0"/>
  </r>
  <r>
    <d v="2020-05-18T00:00:00"/>
    <x v="10"/>
    <n v="12450"/>
    <n v="1115146.5"/>
    <n v="15"/>
    <n v="729"/>
    <n v="636"/>
    <x v="463"/>
    <x v="2"/>
  </r>
  <r>
    <d v="2020-05-14T00:00:00"/>
    <x v="10"/>
    <n v="11161.5"/>
    <n v="963502.5"/>
    <n v="15"/>
    <n v="638"/>
    <n v="548"/>
    <x v="464"/>
    <x v="1"/>
  </r>
  <r>
    <d v="2020-05-15T00:00:00"/>
    <x v="10"/>
    <n v="12229.5"/>
    <n v="1122730.5"/>
    <n v="15"/>
    <n v="688"/>
    <n v="598"/>
    <x v="465"/>
    <x v="1"/>
  </r>
  <r>
    <d v="2020-05-27T00:00:00"/>
    <x v="11"/>
    <n v="28050"/>
    <n v="2458555.5"/>
    <n v="20"/>
    <n v="1873"/>
    <n v="1715"/>
    <x v="466"/>
    <x v="0"/>
  </r>
  <r>
    <d v="2020-05-22T00:00:00"/>
    <x v="11"/>
    <n v="30781.5"/>
    <n v="2540715"/>
    <n v="19"/>
    <n v="1859"/>
    <n v="1697"/>
    <x v="467"/>
    <x v="2"/>
  </r>
  <r>
    <d v="2020-06-01T00:00:00"/>
    <x v="11"/>
    <n v="27960"/>
    <n v="2538967.5"/>
    <n v="21"/>
    <n v="1879"/>
    <n v="1720"/>
    <x v="468"/>
    <x v="5"/>
  </r>
  <r>
    <d v="2020-05-11T00:00:00"/>
    <x v="11"/>
    <n v="23629.5"/>
    <n v="2164365"/>
    <n v="19"/>
    <n v="1527"/>
    <n v="1389"/>
    <x v="469"/>
    <x v="1"/>
  </r>
  <r>
    <d v="2020-05-29T00:00:00"/>
    <x v="10"/>
    <n v="17052"/>
    <n v="1549020"/>
    <n v="16"/>
    <n v="981"/>
    <n v="859"/>
    <x v="470"/>
    <x v="0"/>
  </r>
  <r>
    <d v="2020-05-18T00:00:00"/>
    <x v="11"/>
    <n v="27181.5"/>
    <n v="2324490"/>
    <n v="19"/>
    <n v="1741"/>
    <n v="1597"/>
    <x v="471"/>
    <x v="2"/>
  </r>
  <r>
    <d v="2020-05-14T00:00:00"/>
    <x v="11"/>
    <n v="25656"/>
    <n v="2225341.5"/>
    <n v="19"/>
    <n v="1635"/>
    <n v="1487"/>
    <x v="472"/>
    <x v="1"/>
  </r>
  <r>
    <d v="2020-05-15T00:00:00"/>
    <x v="11"/>
    <n v="29283"/>
    <n v="2477487"/>
    <n v="19"/>
    <n v="1780"/>
    <n v="1615"/>
    <x v="473"/>
    <x v="1"/>
  </r>
  <r>
    <d v="2020-05-29T00:00:00"/>
    <x v="11"/>
    <n v="32782.5"/>
    <n v="2854741.5"/>
    <n v="20"/>
    <n v="2064"/>
    <n v="1896"/>
    <x v="474"/>
    <x v="0"/>
  </r>
  <r>
    <d v="2020-05-27T00:00:00"/>
    <x v="12"/>
    <n v="215592"/>
    <n v="22342300.5"/>
    <n v="59"/>
    <n v="13942"/>
    <n v="12986"/>
    <x v="475"/>
    <x v="0"/>
  </r>
  <r>
    <d v="2020-05-22T00:00:00"/>
    <x v="12"/>
    <n v="228334.5"/>
    <n v="22380772.5"/>
    <n v="60"/>
    <n v="14050"/>
    <n v="13027"/>
    <x v="476"/>
    <x v="2"/>
  </r>
  <r>
    <d v="2020-06-01T00:00:00"/>
    <x v="12"/>
    <n v="188776.5"/>
    <n v="19465372.5"/>
    <n v="59"/>
    <n v="12299"/>
    <n v="11448"/>
    <x v="477"/>
    <x v="5"/>
  </r>
  <r>
    <d v="2020-05-11T00:00:00"/>
    <x v="12"/>
    <n v="175293"/>
    <n v="17919144"/>
    <n v="60"/>
    <n v="11100"/>
    <n v="10407"/>
    <x v="478"/>
    <x v="1"/>
  </r>
  <r>
    <d v="2020-05-18T00:00:00"/>
    <x v="12"/>
    <n v="201999"/>
    <n v="20422435.5"/>
    <n v="60"/>
    <n v="12460"/>
    <n v="11665"/>
    <x v="479"/>
    <x v="2"/>
  </r>
  <r>
    <d v="2020-05-14T00:00:00"/>
    <x v="12"/>
    <n v="197946"/>
    <n v="19942435.5"/>
    <n v="60"/>
    <n v="11935"/>
    <n v="11178"/>
    <x v="480"/>
    <x v="1"/>
  </r>
  <r>
    <d v="2020-05-15T00:00:00"/>
    <x v="12"/>
    <n v="230896.5"/>
    <n v="23085222"/>
    <n v="60"/>
    <n v="13544"/>
    <n v="12643"/>
    <x v="481"/>
    <x v="1"/>
  </r>
  <r>
    <d v="2020-05-27T00:00:00"/>
    <x v="13"/>
    <n v="203532"/>
    <n v="20953324.5"/>
    <n v="54"/>
    <n v="13091"/>
    <n v="12216"/>
    <x v="482"/>
    <x v="0"/>
  </r>
  <r>
    <d v="2020-05-22T00:00:00"/>
    <x v="13"/>
    <n v="214428"/>
    <n v="20812585.5"/>
    <n v="54"/>
    <n v="13014"/>
    <n v="12095"/>
    <x v="483"/>
    <x v="2"/>
  </r>
  <r>
    <d v="2020-06-01T00:00:00"/>
    <x v="13"/>
    <n v="183228"/>
    <n v="18914194.5"/>
    <n v="54"/>
    <n v="11864"/>
    <n v="11071"/>
    <x v="484"/>
    <x v="5"/>
  </r>
  <r>
    <d v="2020-05-11T00:00:00"/>
    <x v="13"/>
    <n v="166948.5"/>
    <n v="16971231"/>
    <n v="54"/>
    <n v="10570"/>
    <n v="9926"/>
    <x v="485"/>
    <x v="1"/>
  </r>
  <r>
    <d v="2020-05-29T00:00:00"/>
    <x v="12"/>
    <n v="232102.5"/>
    <n v="23120443.5"/>
    <n v="59"/>
    <n v="14507"/>
    <n v="13386"/>
    <x v="486"/>
    <x v="0"/>
  </r>
  <r>
    <d v="2020-05-18T00:00:00"/>
    <x v="13"/>
    <n v="196560"/>
    <n v="19855122"/>
    <n v="54"/>
    <n v="12012"/>
    <n v="11308"/>
    <x v="487"/>
    <x v="2"/>
  </r>
  <r>
    <d v="2020-05-14T00:00:00"/>
    <x v="13"/>
    <n v="186496.5"/>
    <n v="18640998"/>
    <n v="54"/>
    <n v="11194"/>
    <n v="10554"/>
    <x v="488"/>
    <x v="1"/>
  </r>
  <r>
    <d v="2020-05-15T00:00:00"/>
    <x v="13"/>
    <n v="219772.5"/>
    <n v="21895294.5"/>
    <n v="54"/>
    <n v="12791"/>
    <n v="11950"/>
    <x v="489"/>
    <x v="1"/>
  </r>
  <r>
    <d v="2020-05-29T00:00:00"/>
    <x v="13"/>
    <n v="226476"/>
    <n v="22416151.5"/>
    <n v="54"/>
    <n v="14031"/>
    <n v="12943"/>
    <x v="490"/>
    <x v="0"/>
  </r>
  <r>
    <d v="2020-05-27T00:00:00"/>
    <x v="15"/>
    <n v="8362.5"/>
    <n v="687684"/>
    <n v="7"/>
    <n v="409"/>
    <n v="329"/>
    <x v="491"/>
    <x v="0"/>
  </r>
  <r>
    <d v="2020-05-22T00:00:00"/>
    <x v="14"/>
    <n v="17008.5"/>
    <n v="1398771"/>
    <n v="18"/>
    <n v="985"/>
    <n v="861"/>
    <x v="492"/>
    <x v="2"/>
  </r>
  <r>
    <d v="2020-06-01T00:00:00"/>
    <x v="16"/>
    <n v="5166"/>
    <n v="389013"/>
    <n v="9"/>
    <n v="294"/>
    <n v="224"/>
    <x v="493"/>
    <x v="5"/>
  </r>
  <r>
    <d v="2020-05-11T00:00:00"/>
    <x v="14"/>
    <n v="10941"/>
    <n v="880356"/>
    <n v="15"/>
    <n v="654"/>
    <n v="564"/>
    <x v="494"/>
    <x v="1"/>
  </r>
  <r>
    <d v="2020-05-18T00:00:00"/>
    <x v="14"/>
    <n v="14497.5"/>
    <n v="1230711"/>
    <n v="16"/>
    <n v="864"/>
    <n v="765"/>
    <x v="495"/>
    <x v="2"/>
  </r>
  <r>
    <d v="2020-05-14T00:00:00"/>
    <x v="14"/>
    <n v="13810.5"/>
    <n v="1131676.5"/>
    <n v="16"/>
    <n v="834"/>
    <n v="735"/>
    <x v="496"/>
    <x v="1"/>
  </r>
  <r>
    <d v="2020-05-15T00:00:00"/>
    <x v="14"/>
    <n v="13752"/>
    <n v="1091040"/>
    <n v="16"/>
    <n v="817"/>
    <n v="718"/>
    <x v="497"/>
    <x v="1"/>
  </r>
  <r>
    <d v="2020-05-27T00:00:00"/>
    <x v="14"/>
    <n v="15276"/>
    <n v="1350199.5"/>
    <n v="18"/>
    <n v="962"/>
    <n v="859"/>
    <x v="498"/>
    <x v="0"/>
  </r>
  <r>
    <d v="2020-06-01T00:00:00"/>
    <x v="17"/>
    <n v="4408.5"/>
    <n v="410892"/>
    <n v="6"/>
    <n v="237"/>
    <n v="175"/>
    <x v="499"/>
    <x v="5"/>
  </r>
  <r>
    <d v="2020-05-29T00:00:00"/>
    <x v="15"/>
    <n v="9927"/>
    <n v="850840.5"/>
    <n v="7"/>
    <n v="491"/>
    <n v="411"/>
    <x v="500"/>
    <x v="0"/>
  </r>
  <r>
    <d v="2020-06-01T00:00:00"/>
    <x v="15"/>
    <n v="9474"/>
    <n v="802447.5"/>
    <n v="7"/>
    <n v="500"/>
    <n v="418"/>
    <x v="501"/>
    <x v="5"/>
  </r>
  <r>
    <d v="2020-05-29T00:00:00"/>
    <x v="14"/>
    <n v="16878"/>
    <n v="1438255.5"/>
    <n v="18"/>
    <n v="1014"/>
    <n v="893"/>
    <x v="502"/>
    <x v="0"/>
  </r>
  <r>
    <d v="2020-06-01T00:00:00"/>
    <x v="14"/>
    <n v="14238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4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C23" firstHeaderRow="0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2">
    <field x="8"/>
    <field x="1"/>
  </rowFields>
  <rowItems count="20">
    <i>
      <x v="5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10"/>
    </i>
    <i r="1">
      <x v="9"/>
    </i>
    <i r="1">
      <x v="8"/>
    </i>
    <i r="1">
      <x v="14"/>
    </i>
    <i r="1">
      <x v="16"/>
    </i>
    <i r="1">
      <x v="11"/>
    </i>
    <i r="1">
      <x v="17"/>
    </i>
    <i r="1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8" baseItem="0"/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I505" totalsRowShown="0" headerRowDxfId="14" dataDxfId="15" tableBorderDxfId="20">
  <autoFilter ref="A1:I505"/>
  <tableColumns count="9">
    <tableColumn id="1" name="Дата" dataDxfId="19"/>
    <tableColumn id="2" name="Территория" dataDxfId="18"/>
    <tableColumn id="3" name="Товарооборот, шт" dataDxfId="17"/>
    <tableColumn id="4" name="Товарооборот, руб" dataDxfId="16"/>
    <tableColumn id="5" name="Количество складов" dataDxfId="4">
      <calculatedColumnFormula>SUMIFS(Лист2!$C:$C,Лист2!$A:$A,$A2,Лист2!$B:$B,$B2)</calculatedColumnFormula>
    </tableColumn>
    <tableColumn id="6" name="Количество заказов" dataDxfId="3">
      <calculatedColumnFormula>SUMIFS(Лист2!$D:$D,Лист2!$A:$A,$A2,Лист2!$B:$B,$B2)</calculatedColumnFormula>
    </tableColumn>
    <tableColumn id="7" name="Количество клиентов" dataDxfId="2">
      <calculatedColumnFormula>SUMIFS(Лист2!$E:$E,Лист2!$A:$A,$A2,Лист2!$B:$B,$B2)</calculatedColumnFormula>
    </tableColumn>
    <tableColumn id="8" name="Товарооборот на склад" dataDxfId="1">
      <calculatedColumnFormula>IFERROR(D2/E2,0)</calculatedColumnFormula>
    </tableColumn>
    <tableColumn id="9" name="Неделя" dataDxfId="0">
      <calculatedColumnFormula>WEEKNUM(A2,2)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E505" totalsRowShown="0" headerRowDxfId="5" dataDxfId="6" headerRowBorderDxfId="12" tableBorderDxfId="13">
  <autoFilter ref="A1:E505"/>
  <tableColumns count="5">
    <tableColumn id="1" name="Дата" dataDxfId="11"/>
    <tableColumn id="2" name="Территория" dataDxfId="10"/>
    <tableColumn id="3" name="Количество складов" dataDxfId="9"/>
    <tableColumn id="4" name="Количество заказов" dataDxfId="8"/>
    <tableColumn id="5" name="Количество клиентов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tabSelected="1" workbookViewId="0">
      <selection activeCell="A3" sqref="A3"/>
    </sheetView>
  </sheetViews>
  <sheetFormatPr defaultRowHeight="14.4" x14ac:dyDescent="0.3"/>
  <cols>
    <col min="1" max="1" width="25.109375" bestFit="1" customWidth="1"/>
    <col min="2" max="2" width="32.77734375" bestFit="1" customWidth="1"/>
    <col min="3" max="3" width="36.6640625" bestFit="1" customWidth="1"/>
  </cols>
  <sheetData>
    <row r="3" spans="1:4" x14ac:dyDescent="0.3">
      <c r="A3" s="12" t="s">
        <v>27</v>
      </c>
      <c r="B3" t="s">
        <v>29</v>
      </c>
      <c r="C3" t="s">
        <v>30</v>
      </c>
      <c r="D3" s="16" t="s">
        <v>31</v>
      </c>
    </row>
    <row r="4" spans="1:4" x14ac:dyDescent="0.3">
      <c r="A4" s="13">
        <v>23</v>
      </c>
      <c r="B4" s="15">
        <v>136032376.68134999</v>
      </c>
      <c r="C4" s="15">
        <v>2786041.4356766078</v>
      </c>
      <c r="D4" s="17">
        <f>B5/$B$4</f>
        <v>0.27388950403053602</v>
      </c>
    </row>
    <row r="5" spans="1:4" x14ac:dyDescent="0.3">
      <c r="A5" s="14" t="s">
        <v>15</v>
      </c>
      <c r="B5" s="15">
        <v>37257840.18135</v>
      </c>
      <c r="C5" s="15">
        <v>302909.26976707316</v>
      </c>
      <c r="D5" s="17">
        <f t="shared" ref="D5:D23" si="0">B6/$B$4</f>
        <v>0.20414325749119455</v>
      </c>
    </row>
    <row r="6" spans="1:4" x14ac:dyDescent="0.3">
      <c r="A6" s="14" t="s">
        <v>14</v>
      </c>
      <c r="B6" s="15">
        <v>27770092.5</v>
      </c>
      <c r="C6" s="15">
        <v>216953.84765625</v>
      </c>
      <c r="D6" s="17">
        <f t="shared" si="0"/>
        <v>0.14309367354212152</v>
      </c>
    </row>
    <row r="7" spans="1:4" x14ac:dyDescent="0.3">
      <c r="A7" s="14" t="s">
        <v>21</v>
      </c>
      <c r="B7" s="15">
        <v>19465372.5</v>
      </c>
      <c r="C7" s="15">
        <v>329921.56779661018</v>
      </c>
      <c r="D7" s="17">
        <f t="shared" si="0"/>
        <v>0.13904185872092562</v>
      </c>
    </row>
    <row r="8" spans="1:4" x14ac:dyDescent="0.3">
      <c r="A8" s="14" t="s">
        <v>22</v>
      </c>
      <c r="B8" s="15">
        <v>18914194.5</v>
      </c>
      <c r="C8" s="15">
        <v>350262.86111111112</v>
      </c>
      <c r="D8" s="17">
        <f t="shared" si="0"/>
        <v>5.0208058306580927E-2</v>
      </c>
    </row>
    <row r="9" spans="1:4" x14ac:dyDescent="0.3">
      <c r="A9" s="14" t="s">
        <v>11</v>
      </c>
      <c r="B9" s="15">
        <v>6829921.5</v>
      </c>
      <c r="C9" s="15">
        <v>220320.04838709679</v>
      </c>
      <c r="D9" s="17">
        <f t="shared" si="0"/>
        <v>4.2639040363066878E-2</v>
      </c>
    </row>
    <row r="10" spans="1:4" x14ac:dyDescent="0.3">
      <c r="A10" s="14" t="s">
        <v>16</v>
      </c>
      <c r="B10" s="15">
        <v>5800290</v>
      </c>
      <c r="C10" s="15">
        <v>156764.59459459459</v>
      </c>
      <c r="D10" s="17">
        <f t="shared" si="0"/>
        <v>2.8414198842193168E-2</v>
      </c>
    </row>
    <row r="11" spans="1:4" x14ac:dyDescent="0.3">
      <c r="A11" s="14" t="s">
        <v>17</v>
      </c>
      <c r="B11" s="15">
        <v>3865251</v>
      </c>
      <c r="C11" s="15">
        <v>168054.39130434784</v>
      </c>
      <c r="D11" s="17">
        <f t="shared" si="0"/>
        <v>2.2152902665657476E-2</v>
      </c>
    </row>
    <row r="12" spans="1:4" x14ac:dyDescent="0.3">
      <c r="A12" s="14" t="s">
        <v>13</v>
      </c>
      <c r="B12" s="15">
        <v>3013512</v>
      </c>
      <c r="C12" s="15">
        <v>150675.6</v>
      </c>
      <c r="D12" s="17">
        <f t="shared" si="0"/>
        <v>2.1649518826673295E-2</v>
      </c>
    </row>
    <row r="13" spans="1:4" x14ac:dyDescent="0.3">
      <c r="A13" s="14" t="s">
        <v>10</v>
      </c>
      <c r="B13" s="15">
        <v>2945035.5</v>
      </c>
      <c r="C13" s="15">
        <v>140239.78571428571</v>
      </c>
      <c r="D13" s="17">
        <f t="shared" si="0"/>
        <v>1.866443534944201E-2</v>
      </c>
    </row>
    <row r="14" spans="1:4" x14ac:dyDescent="0.3">
      <c r="A14" s="14" t="s">
        <v>20</v>
      </c>
      <c r="B14" s="15">
        <v>2538967.5</v>
      </c>
      <c r="C14" s="15">
        <v>120903.21428571429</v>
      </c>
      <c r="D14" s="17">
        <f t="shared" si="0"/>
        <v>1.1509263737025098E-2</v>
      </c>
    </row>
    <row r="15" spans="1:4" x14ac:dyDescent="0.3">
      <c r="A15" s="14" t="s">
        <v>19</v>
      </c>
      <c r="B15" s="15">
        <v>1565632.5</v>
      </c>
      <c r="C15" s="15">
        <v>97852.03125</v>
      </c>
      <c r="D15" s="17">
        <f t="shared" si="0"/>
        <v>1.1222390854612612E-2</v>
      </c>
    </row>
    <row r="16" spans="1:4" x14ac:dyDescent="0.3">
      <c r="A16" s="14" t="s">
        <v>18</v>
      </c>
      <c r="B16" s="15">
        <v>1526608.5</v>
      </c>
      <c r="C16" s="15">
        <v>89800.5</v>
      </c>
      <c r="D16" s="17">
        <f t="shared" si="0"/>
        <v>9.5067000338405466E-3</v>
      </c>
    </row>
    <row r="17" spans="1:4" x14ac:dyDescent="0.3">
      <c r="A17" s="14" t="s">
        <v>23</v>
      </c>
      <c r="B17" s="15">
        <v>1293219</v>
      </c>
      <c r="C17" s="15">
        <v>71845.5</v>
      </c>
      <c r="D17" s="17">
        <f t="shared" si="0"/>
        <v>7.4081040454111336E-3</v>
      </c>
    </row>
    <row r="18" spans="1:4" x14ac:dyDescent="0.3">
      <c r="A18" s="14" t="s">
        <v>12</v>
      </c>
      <c r="B18" s="15">
        <v>1007742</v>
      </c>
      <c r="C18" s="15">
        <v>100774.2</v>
      </c>
      <c r="D18" s="17">
        <f t="shared" si="0"/>
        <v>5.8989449392602969E-3</v>
      </c>
    </row>
    <row r="19" spans="1:4" x14ac:dyDescent="0.3">
      <c r="A19" s="14" t="s">
        <v>24</v>
      </c>
      <c r="B19" s="15">
        <v>802447.5</v>
      </c>
      <c r="C19" s="15">
        <v>114635.35714285714</v>
      </c>
      <c r="D19" s="17">
        <f t="shared" si="0"/>
        <v>4.6778937156307342E-3</v>
      </c>
    </row>
    <row r="20" spans="1:4" x14ac:dyDescent="0.3">
      <c r="A20" s="14" t="s">
        <v>9</v>
      </c>
      <c r="B20" s="15">
        <v>636345</v>
      </c>
      <c r="C20" s="15">
        <v>42423</v>
      </c>
      <c r="D20" s="17">
        <f t="shared" si="0"/>
        <v>3.0205456232121628E-3</v>
      </c>
    </row>
    <row r="21" spans="1:4" x14ac:dyDescent="0.3">
      <c r="A21" s="14" t="s">
        <v>26</v>
      </c>
      <c r="B21" s="15">
        <v>410892</v>
      </c>
      <c r="C21" s="15">
        <v>68482</v>
      </c>
      <c r="D21" s="17">
        <f t="shared" si="0"/>
        <v>2.8597089126160477E-3</v>
      </c>
    </row>
    <row r="22" spans="1:4" x14ac:dyDescent="0.3">
      <c r="A22" s="14" t="s">
        <v>25</v>
      </c>
      <c r="B22" s="15">
        <v>389013</v>
      </c>
      <c r="C22" s="15">
        <v>43223.666666666664</v>
      </c>
      <c r="D22" s="17">
        <f t="shared" si="0"/>
        <v>1</v>
      </c>
    </row>
    <row r="23" spans="1:4" x14ac:dyDescent="0.3">
      <c r="A23" s="13" t="s">
        <v>28</v>
      </c>
      <c r="B23" s="15">
        <v>136032376.68134999</v>
      </c>
      <c r="C23" s="15">
        <v>2786041.4356766078</v>
      </c>
      <c r="D23" s="17">
        <f t="shared" si="0"/>
        <v>0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A2" workbookViewId="0">
      <selection activeCell="I3" sqref="I3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>
        <f>SUMIFS(Лист2!$C:$C,Лист2!$A:$A,$A2,Лист2!$B:$B,$B2)</f>
        <v>15</v>
      </c>
      <c r="F2" s="3">
        <f>SUMIFS(Лист2!$D:$D,Лист2!$A:$A,$A2,Лист2!$B:$B,$B2)</f>
        <v>441</v>
      </c>
      <c r="G2" s="3">
        <f>SUMIFS(Лист2!$E:$E,Лист2!$A:$A,$A2,Лист2!$B:$B,$B2)</f>
        <v>368</v>
      </c>
      <c r="H2">
        <f t="shared" ref="H2:H65" si="0">IFERROR(D2/E2,0)</f>
        <v>41598.1</v>
      </c>
      <c r="I2">
        <f t="shared" ref="I2:I65" si="1">WEEKNUM(A2,2)</f>
        <v>22</v>
      </c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>
        <f>SUMIFS(Лист2!$C:$C,Лист2!$A:$A,$A3,Лист2!$B:$B,$B3)</f>
        <v>15</v>
      </c>
      <c r="F3" s="3">
        <f>SUMIFS(Лист2!$D:$D,Лист2!$A:$A,$A3,Лист2!$B:$B,$B3)</f>
        <v>490</v>
      </c>
      <c r="G3" s="3">
        <f>SUMIFS(Лист2!$E:$E,Лист2!$A:$A,$A3,Лист2!$B:$B,$B3)</f>
        <v>409</v>
      </c>
      <c r="H3">
        <f t="shared" si="0"/>
        <v>52473.4</v>
      </c>
      <c r="I3">
        <f t="shared" si="1"/>
        <v>22</v>
      </c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>
        <f>SUMIFS(Лист2!$C:$C,Лист2!$A:$A,$A4,Лист2!$B:$B,$B4)</f>
        <v>15</v>
      </c>
      <c r="F4" s="3">
        <f>SUMIFS(Лист2!$D:$D,Лист2!$A:$A,$A4,Лист2!$B:$B,$B4)</f>
        <v>464</v>
      </c>
      <c r="G4" s="3">
        <f>SUMIFS(Лист2!$E:$E,Лист2!$A:$A,$A4,Лист2!$B:$B,$B4)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>
        <f>SUMIFS(Лист2!$C:$C,Лист2!$A:$A,$A5,Лист2!$B:$B,$B5)</f>
        <v>21</v>
      </c>
      <c r="F5" s="3">
        <f>SUMIFS(Лист2!$D:$D,Лист2!$A:$A,$A5,Лист2!$B:$B,$B5)</f>
        <v>2145</v>
      </c>
      <c r="G5" s="3">
        <f>SUMIFS(Лист2!$E:$E,Лист2!$A:$A,$A5,Лист2!$B:$B,$B5)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>
        <f>SUMIFS(Лист2!$C:$C,Лист2!$A:$A,$A6,Лист2!$B:$B,$B6)</f>
        <v>21</v>
      </c>
      <c r="F6" s="3">
        <f>SUMIFS(Лист2!$D:$D,Лист2!$A:$A,$A6,Лист2!$B:$B,$B6)</f>
        <v>1860</v>
      </c>
      <c r="G6" s="3">
        <f>SUMIFS(Лист2!$E:$E,Лист2!$A:$A,$A6,Лист2!$B:$B,$B6)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>
        <f>SUMIFS(Лист2!$C:$C,Лист2!$A:$A,$A7,Лист2!$B:$B,$B7)</f>
        <v>21</v>
      </c>
      <c r="F7" s="3">
        <f>SUMIFS(Лист2!$D:$D,Лист2!$A:$A,$A7,Лист2!$B:$B,$B7)</f>
        <v>1874</v>
      </c>
      <c r="G7" s="3">
        <f>SUMIFS(Лист2!$E:$E,Лист2!$A:$A,$A7,Лист2!$B:$B,$B7)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>
        <f>SUMIFS(Лист2!$C:$C,Лист2!$A:$A,$A8,Лист2!$B:$B,$B8)</f>
        <v>21</v>
      </c>
      <c r="F8" s="3">
        <f>SUMIFS(Лист2!$D:$D,Лист2!$A:$A,$A8,Лист2!$B:$B,$B8)</f>
        <v>1735</v>
      </c>
      <c r="G8" s="3">
        <f>SUMIFS(Лист2!$E:$E,Лист2!$A:$A,$A8,Лист2!$B:$B,$B8)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>
        <f>SUMIFS(Лист2!$C:$C,Лист2!$A:$A,$A9,Лист2!$B:$B,$B9)</f>
        <v>20</v>
      </c>
      <c r="F9" s="3">
        <f>SUMIFS(Лист2!$D:$D,Лист2!$A:$A,$A9,Лист2!$B:$B,$B9)</f>
        <v>1519</v>
      </c>
      <c r="G9" s="3">
        <f>SUMIFS(Лист2!$E:$E,Лист2!$A:$A,$A9,Лист2!$B:$B,$B9)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>
        <f>SUMIFS(Лист2!$C:$C,Лист2!$A:$A,$A10,Лист2!$B:$B,$B10)</f>
        <v>18</v>
      </c>
      <c r="F10" s="3">
        <f>SUMIFS(Лист2!$D:$D,Лист2!$A:$A,$A10,Лист2!$B:$B,$B10)</f>
        <v>1684</v>
      </c>
      <c r="G10" s="3">
        <f>SUMIFS(Лист2!$E:$E,Лист2!$A:$A,$A10,Лист2!$B:$B,$B10)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>
        <f>SUMIFS(Лист2!$C:$C,Лист2!$A:$A,$A11,Лист2!$B:$B,$B11)</f>
        <v>18</v>
      </c>
      <c r="F11" s="3">
        <f>SUMIFS(Лист2!$D:$D,Лист2!$A:$A,$A11,Лист2!$B:$B,$B11)</f>
        <v>1708</v>
      </c>
      <c r="G11" s="3">
        <f>SUMIFS(Лист2!$E:$E,Лист2!$A:$A,$A11,Лист2!$B:$B,$B11)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>
        <f>SUMIFS(Лист2!$C:$C,Лист2!$A:$A,$A12,Лист2!$B:$B,$B12)</f>
        <v>20</v>
      </c>
      <c r="F12" s="3">
        <f>SUMIFS(Лист2!$D:$D,Лист2!$A:$A,$A12,Лист2!$B:$B,$B12)</f>
        <v>2044</v>
      </c>
      <c r="G12" s="3">
        <f>SUMIFS(Лист2!$E:$E,Лист2!$A:$A,$A12,Лист2!$B:$B,$B12)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>
        <f>SUMIFS(Лист2!$C:$C,Лист2!$A:$A,$A13,Лист2!$B:$B,$B13)</f>
        <v>18</v>
      </c>
      <c r="F13" s="3">
        <f>SUMIFS(Лист2!$D:$D,Лист2!$A:$A,$A13,Лист2!$B:$B,$B13)</f>
        <v>1826</v>
      </c>
      <c r="G13" s="3">
        <f>SUMIFS(Лист2!$E:$E,Лист2!$A:$A,$A13,Лист2!$B:$B,$B13)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>
        <f>SUMIFS(Лист2!$C:$C,Лист2!$A:$A,$A14,Лист2!$B:$B,$B14)</f>
        <v>21</v>
      </c>
      <c r="F14" s="3">
        <f>SUMIFS(Лист2!$D:$D,Лист2!$A:$A,$A14,Лист2!$B:$B,$B14)</f>
        <v>1656</v>
      </c>
      <c r="G14" s="3">
        <f>SUMIFS(Лист2!$E:$E,Лист2!$A:$A,$A14,Лист2!$B:$B,$B14)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>
        <f>SUMIFS(Лист2!$C:$C,Лист2!$A:$A,$A15,Лист2!$B:$B,$B15)</f>
        <v>21</v>
      </c>
      <c r="F15" s="3">
        <f>SUMIFS(Лист2!$D:$D,Лист2!$A:$A,$A15,Лист2!$B:$B,$B15)</f>
        <v>1787</v>
      </c>
      <c r="G15" s="3">
        <f>SUMIFS(Лист2!$E:$E,Лист2!$A:$A,$A15,Лист2!$B:$B,$B15)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>
        <f>SUMIFS(Лист2!$C:$C,Лист2!$A:$A,$A16,Лист2!$B:$B,$B16)</f>
        <v>21</v>
      </c>
      <c r="F16" s="3">
        <f>SUMIFS(Лист2!$D:$D,Лист2!$A:$A,$A16,Лист2!$B:$B,$B16)</f>
        <v>1921</v>
      </c>
      <c r="G16" s="3">
        <f>SUMIFS(Лист2!$E:$E,Лист2!$A:$A,$A16,Лист2!$B:$B,$B16)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>
        <f>SUMIFS(Лист2!$C:$C,Лист2!$A:$A,$A17,Лист2!$B:$B,$B17)</f>
        <v>20</v>
      </c>
      <c r="F17" s="3">
        <f>SUMIFS(Лист2!$D:$D,Лист2!$A:$A,$A17,Лист2!$B:$B,$B17)</f>
        <v>1773</v>
      </c>
      <c r="G17" s="3">
        <f>SUMIFS(Лист2!$E:$E,Лист2!$A:$A,$A17,Лист2!$B:$B,$B17)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>
        <f>SUMIFS(Лист2!$C:$C,Лист2!$A:$A,$A18,Лист2!$B:$B,$B18)</f>
        <v>18</v>
      </c>
      <c r="F18" s="3">
        <f>SUMIFS(Лист2!$D:$D,Лист2!$A:$A,$A18,Лист2!$B:$B,$B18)</f>
        <v>1539</v>
      </c>
      <c r="G18" s="3">
        <f>SUMIFS(Лист2!$E:$E,Лист2!$A:$A,$A18,Лист2!$B:$B,$B18)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>
        <f>SUMIFS(Лист2!$C:$C,Лист2!$A:$A,$A19,Лист2!$B:$B,$B19)</f>
        <v>21</v>
      </c>
      <c r="F19" s="3">
        <f>SUMIFS(Лист2!$D:$D,Лист2!$A:$A,$A19,Лист2!$B:$B,$B19)</f>
        <v>1698</v>
      </c>
      <c r="G19" s="3">
        <f>SUMIFS(Лист2!$E:$E,Лист2!$A:$A,$A19,Лист2!$B:$B,$B19)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>
        <f>SUMIFS(Лист2!$C:$C,Лист2!$A:$A,$A20,Лист2!$B:$B,$B20)</f>
        <v>20</v>
      </c>
      <c r="F20" s="3">
        <f>SUMIFS(Лист2!$D:$D,Лист2!$A:$A,$A20,Лист2!$B:$B,$B20)</f>
        <v>1520</v>
      </c>
      <c r="G20" s="3">
        <f>SUMIFS(Лист2!$E:$E,Лист2!$A:$A,$A20,Лист2!$B:$B,$B20)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>
        <f>SUMIFS(Лист2!$C:$C,Лист2!$A:$A,$A21,Лист2!$B:$B,$B21)</f>
        <v>20</v>
      </c>
      <c r="F21" s="3">
        <f>SUMIFS(Лист2!$D:$D,Лист2!$A:$A,$A21,Лист2!$B:$B,$B21)</f>
        <v>1784</v>
      </c>
      <c r="G21" s="3">
        <f>SUMIFS(Лист2!$E:$E,Лист2!$A:$A,$A21,Лист2!$B:$B,$B21)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>
        <f>SUMIFS(Лист2!$C:$C,Лист2!$A:$A,$A22,Лист2!$B:$B,$B22)</f>
        <v>21</v>
      </c>
      <c r="F22" s="3">
        <f>SUMIFS(Лист2!$D:$D,Лист2!$A:$A,$A22,Лист2!$B:$B,$B22)</f>
        <v>2340</v>
      </c>
      <c r="G22" s="3">
        <f>SUMIFS(Лист2!$E:$E,Лист2!$A:$A,$A22,Лист2!$B:$B,$B22)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>
        <f>SUMIFS(Лист2!$C:$C,Лист2!$A:$A,$A23,Лист2!$B:$B,$B23)</f>
        <v>20</v>
      </c>
      <c r="F23" s="3">
        <f>SUMIFS(Лист2!$D:$D,Лист2!$A:$A,$A23,Лист2!$B:$B,$B23)</f>
        <v>2087</v>
      </c>
      <c r="G23" s="3">
        <f>SUMIFS(Лист2!$E:$E,Лист2!$A:$A,$A23,Лист2!$B:$B,$B23)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>
        <f>SUMIFS(Лист2!$C:$C,Лист2!$A:$A,$A24,Лист2!$B:$B,$B24)</f>
        <v>19</v>
      </c>
      <c r="F24" s="3">
        <f>SUMIFS(Лист2!$D:$D,Лист2!$A:$A,$A24,Лист2!$B:$B,$B24)</f>
        <v>1712</v>
      </c>
      <c r="G24" s="3">
        <f>SUMIFS(Лист2!$E:$E,Лист2!$A:$A,$A24,Лист2!$B:$B,$B24)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>
        <f>SUMIFS(Лист2!$C:$C,Лист2!$A:$A,$A25,Лист2!$B:$B,$B25)</f>
        <v>21</v>
      </c>
      <c r="F25" s="3">
        <f>SUMIFS(Лист2!$D:$D,Лист2!$A:$A,$A25,Лист2!$B:$B,$B25)</f>
        <v>2016</v>
      </c>
      <c r="G25" s="3">
        <f>SUMIFS(Лист2!$E:$E,Лист2!$A:$A,$A25,Лист2!$B:$B,$B25)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>
        <f>SUMIFS(Лист2!$C:$C,Лист2!$A:$A,$A26,Лист2!$B:$B,$B26)</f>
        <v>21</v>
      </c>
      <c r="F26" s="3">
        <f>SUMIFS(Лист2!$D:$D,Лист2!$A:$A,$A26,Лист2!$B:$B,$B26)</f>
        <v>1646</v>
      </c>
      <c r="G26" s="3">
        <f>SUMIFS(Лист2!$E:$E,Лист2!$A:$A,$A26,Лист2!$B:$B,$B26)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>
        <f>SUMIFS(Лист2!$C:$C,Лист2!$A:$A,$A27,Лист2!$B:$B,$B27)</f>
        <v>21</v>
      </c>
      <c r="F27" s="3">
        <f>SUMIFS(Лист2!$D:$D,Лист2!$A:$A,$A27,Лист2!$B:$B,$B27)</f>
        <v>1542</v>
      </c>
      <c r="G27" s="3">
        <f>SUMIFS(Лист2!$E:$E,Лист2!$A:$A,$A27,Лист2!$B:$B,$B27)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>
        <f>SUMIFS(Лист2!$C:$C,Лист2!$A:$A,$A28,Лист2!$B:$B,$B28)</f>
        <v>20</v>
      </c>
      <c r="F28" s="3">
        <f>SUMIFS(Лист2!$D:$D,Лист2!$A:$A,$A28,Лист2!$B:$B,$B28)</f>
        <v>1999</v>
      </c>
      <c r="G28" s="3">
        <f>SUMIFS(Лист2!$E:$E,Лист2!$A:$A,$A28,Лист2!$B:$B,$B28)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>
        <f>SUMIFS(Лист2!$C:$C,Лист2!$A:$A,$A29,Лист2!$B:$B,$B29)</f>
        <v>21</v>
      </c>
      <c r="F29" s="3">
        <f>SUMIFS(Лист2!$D:$D,Лист2!$A:$A,$A29,Лист2!$B:$B,$B29)</f>
        <v>2271</v>
      </c>
      <c r="G29" s="3">
        <f>SUMIFS(Лист2!$E:$E,Лист2!$A:$A,$A29,Лист2!$B:$B,$B29)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>
        <f>SUMIFS(Лист2!$C:$C,Лист2!$A:$A,$A30,Лист2!$B:$B,$B30)</f>
        <v>20</v>
      </c>
      <c r="F30" s="3">
        <f>SUMIFS(Лист2!$D:$D,Лист2!$A:$A,$A30,Лист2!$B:$B,$B30)</f>
        <v>2597</v>
      </c>
      <c r="G30" s="3">
        <f>SUMIFS(Лист2!$E:$E,Лист2!$A:$A,$A30,Лист2!$B:$B,$B30)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>
        <f>SUMIFS(Лист2!$C:$C,Лист2!$A:$A,$A31,Лист2!$B:$B,$B31)</f>
        <v>20</v>
      </c>
      <c r="F31" s="3">
        <f>SUMIFS(Лист2!$D:$D,Лист2!$A:$A,$A31,Лист2!$B:$B,$B31)</f>
        <v>1886</v>
      </c>
      <c r="G31" s="3">
        <f>SUMIFS(Лист2!$E:$E,Лист2!$A:$A,$A31,Лист2!$B:$B,$B31)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>
        <f>SUMIFS(Лист2!$C:$C,Лист2!$A:$A,$A32,Лист2!$B:$B,$B32)</f>
        <v>31</v>
      </c>
      <c r="F32" s="3">
        <f>SUMIFS(Лист2!$D:$D,Лист2!$A:$A,$A32,Лист2!$B:$B,$B32)</f>
        <v>5593</v>
      </c>
      <c r="G32" s="3">
        <f>SUMIFS(Лист2!$E:$E,Лист2!$A:$A,$A32,Лист2!$B:$B,$B32)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>
        <f>SUMIFS(Лист2!$C:$C,Лист2!$A:$A,$A33,Лист2!$B:$B,$B33)</f>
        <v>31</v>
      </c>
      <c r="F33" s="3">
        <f>SUMIFS(Лист2!$D:$D,Лист2!$A:$A,$A33,Лист2!$B:$B,$B33)</f>
        <v>5389</v>
      </c>
      <c r="G33" s="3">
        <f>SUMIFS(Лист2!$E:$E,Лист2!$A:$A,$A33,Лист2!$B:$B,$B33)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>
        <f>SUMIFS(Лист2!$C:$C,Лист2!$A:$A,$A34,Лист2!$B:$B,$B34)</f>
        <v>31</v>
      </c>
      <c r="F34" s="3">
        <f>SUMIFS(Лист2!$D:$D,Лист2!$A:$A,$A34,Лист2!$B:$B,$B34)</f>
        <v>5206</v>
      </c>
      <c r="G34" s="3">
        <f>SUMIFS(Лист2!$E:$E,Лист2!$A:$A,$A34,Лист2!$B:$B,$B34)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>
        <f>SUMIFS(Лист2!$C:$C,Лист2!$A:$A,$A35,Лист2!$B:$B,$B35)</f>
        <v>31</v>
      </c>
      <c r="F35" s="3">
        <f>SUMIFS(Лист2!$D:$D,Лист2!$A:$A,$A35,Лист2!$B:$B,$B35)</f>
        <v>4556</v>
      </c>
      <c r="G35" s="3">
        <f>SUMIFS(Лист2!$E:$E,Лист2!$A:$A,$A35,Лист2!$B:$B,$B35)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>
        <f>SUMIFS(Лист2!$C:$C,Лист2!$A:$A,$A36,Лист2!$B:$B,$B36)</f>
        <v>31</v>
      </c>
      <c r="F36" s="3">
        <f>SUMIFS(Лист2!$D:$D,Лист2!$A:$A,$A36,Лист2!$B:$B,$B36)</f>
        <v>4968</v>
      </c>
      <c r="G36" s="3">
        <f>SUMIFS(Лист2!$E:$E,Лист2!$A:$A,$A36,Лист2!$B:$B,$B36)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>
        <f>SUMIFS(Лист2!$C:$C,Лист2!$A:$A,$A37,Лист2!$B:$B,$B37)</f>
        <v>31</v>
      </c>
      <c r="F37" s="3">
        <f>SUMIFS(Лист2!$D:$D,Лист2!$A:$A,$A37,Лист2!$B:$B,$B37)</f>
        <v>5378</v>
      </c>
      <c r="G37" s="3">
        <f>SUMIFS(Лист2!$E:$E,Лист2!$A:$A,$A37,Лист2!$B:$B,$B37)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>
        <f>SUMIFS(Лист2!$C:$C,Лист2!$A:$A,$A38,Лист2!$B:$B,$B38)</f>
        <v>31</v>
      </c>
      <c r="F38" s="3">
        <f>SUMIFS(Лист2!$D:$D,Лист2!$A:$A,$A38,Лист2!$B:$B,$B38)</f>
        <v>4157</v>
      </c>
      <c r="G38" s="3">
        <f>SUMIFS(Лист2!$E:$E,Лист2!$A:$A,$A38,Лист2!$B:$B,$B38)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>
        <f>SUMIFS(Лист2!$C:$C,Лист2!$A:$A,$A39,Лист2!$B:$B,$B39)</f>
        <v>31</v>
      </c>
      <c r="F39" s="3">
        <f>SUMIFS(Лист2!$D:$D,Лист2!$A:$A,$A39,Лист2!$B:$B,$B39)</f>
        <v>5493</v>
      </c>
      <c r="G39" s="3">
        <f>SUMIFS(Лист2!$E:$E,Лист2!$A:$A,$A39,Лист2!$B:$B,$B39)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>
        <f>SUMIFS(Лист2!$C:$C,Лист2!$A:$A,$A40,Лист2!$B:$B,$B40)</f>
        <v>31</v>
      </c>
      <c r="F40" s="3">
        <f>SUMIFS(Лист2!$D:$D,Лист2!$A:$A,$A40,Лист2!$B:$B,$B40)</f>
        <v>6118</v>
      </c>
      <c r="G40" s="3">
        <f>SUMIFS(Лист2!$E:$E,Лист2!$A:$A,$A40,Лист2!$B:$B,$B40)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>
        <f>SUMIFS(Лист2!$C:$C,Лист2!$A:$A,$A41,Лист2!$B:$B,$B41)</f>
        <v>31</v>
      </c>
      <c r="F41" s="3">
        <f>SUMIFS(Лист2!$D:$D,Лист2!$A:$A,$A41,Лист2!$B:$B,$B41)</f>
        <v>4800</v>
      </c>
      <c r="G41" s="3">
        <f>SUMIFS(Лист2!$E:$E,Лист2!$A:$A,$A41,Лист2!$B:$B,$B41)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>
        <f>SUMIFS(Лист2!$C:$C,Лист2!$A:$A,$A42,Лист2!$B:$B,$B42)</f>
        <v>31</v>
      </c>
      <c r="F42" s="3">
        <f>SUMIFS(Лист2!$D:$D,Лист2!$A:$A,$A42,Лист2!$B:$B,$B42)</f>
        <v>5207</v>
      </c>
      <c r="G42" s="3">
        <f>SUMIFS(Лист2!$E:$E,Лист2!$A:$A,$A42,Лист2!$B:$B,$B42)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>
        <f>SUMIFS(Лист2!$C:$C,Лист2!$A:$A,$A43,Лист2!$B:$B,$B43)</f>
        <v>31</v>
      </c>
      <c r="F43" s="3">
        <f>SUMIFS(Лист2!$D:$D,Лист2!$A:$A,$A43,Лист2!$B:$B,$B43)</f>
        <v>5698</v>
      </c>
      <c r="G43" s="3">
        <f>SUMIFS(Лист2!$E:$E,Лист2!$A:$A,$A43,Лист2!$B:$B,$B43)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>
        <f>SUMIFS(Лист2!$C:$C,Лист2!$A:$A,$A44,Лист2!$B:$B,$B44)</f>
        <v>31</v>
      </c>
      <c r="F44" s="3">
        <f>SUMIFS(Лист2!$D:$D,Лист2!$A:$A,$A44,Лист2!$B:$B,$B44)</f>
        <v>5188</v>
      </c>
      <c r="G44" s="3">
        <f>SUMIFS(Лист2!$E:$E,Лист2!$A:$A,$A44,Лист2!$B:$B,$B44)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>
        <f>SUMIFS(Лист2!$C:$C,Лист2!$A:$A,$A45,Лист2!$B:$B,$B45)</f>
        <v>31</v>
      </c>
      <c r="F45" s="3">
        <f>SUMIFS(Лист2!$D:$D,Лист2!$A:$A,$A45,Лист2!$B:$B,$B45)</f>
        <v>5465</v>
      </c>
      <c r="G45" s="3">
        <f>SUMIFS(Лист2!$E:$E,Лист2!$A:$A,$A45,Лист2!$B:$B,$B45)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>
        <f>SUMIFS(Лист2!$C:$C,Лист2!$A:$A,$A46,Лист2!$B:$B,$B46)</f>
        <v>31</v>
      </c>
      <c r="F46" s="3">
        <f>SUMIFS(Лист2!$D:$D,Лист2!$A:$A,$A46,Лист2!$B:$B,$B46)</f>
        <v>5251</v>
      </c>
      <c r="G46" s="3">
        <f>SUMIFS(Лист2!$E:$E,Лист2!$A:$A,$A46,Лист2!$B:$B,$B46)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>
        <f>SUMIFS(Лист2!$C:$C,Лист2!$A:$A,$A47,Лист2!$B:$B,$B47)</f>
        <v>31</v>
      </c>
      <c r="F47" s="3">
        <f>SUMIFS(Лист2!$D:$D,Лист2!$A:$A,$A47,Лист2!$B:$B,$B47)</f>
        <v>5155</v>
      </c>
      <c r="G47" s="3">
        <f>SUMIFS(Лист2!$E:$E,Лист2!$A:$A,$A47,Лист2!$B:$B,$B47)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>
        <f>SUMIFS(Лист2!$C:$C,Лист2!$A:$A,$A48,Лист2!$B:$B,$B48)</f>
        <v>31</v>
      </c>
      <c r="F48" s="3">
        <f>SUMIFS(Лист2!$D:$D,Лист2!$A:$A,$A48,Лист2!$B:$B,$B48)</f>
        <v>4709</v>
      </c>
      <c r="G48" s="3">
        <f>SUMIFS(Лист2!$E:$E,Лист2!$A:$A,$A48,Лист2!$B:$B,$B48)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>
        <f>SUMIFS(Лист2!$C:$C,Лист2!$A:$A,$A49,Лист2!$B:$B,$B49)</f>
        <v>31</v>
      </c>
      <c r="F49" s="3">
        <f>SUMIFS(Лист2!$D:$D,Лист2!$A:$A,$A49,Лист2!$B:$B,$B49)</f>
        <v>6276</v>
      </c>
      <c r="G49" s="3">
        <f>SUMIFS(Лист2!$E:$E,Лист2!$A:$A,$A49,Лист2!$B:$B,$B49)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>
        <f>SUMIFS(Лист2!$C:$C,Лист2!$A:$A,$A50,Лист2!$B:$B,$B50)</f>
        <v>31</v>
      </c>
      <c r="F50" s="3">
        <f>SUMIFS(Лист2!$D:$D,Лист2!$A:$A,$A50,Лист2!$B:$B,$B50)</f>
        <v>5210</v>
      </c>
      <c r="G50" s="3">
        <f>SUMIFS(Лист2!$E:$E,Лист2!$A:$A,$A50,Лист2!$B:$B,$B50)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>
        <f>SUMIFS(Лист2!$C:$C,Лист2!$A:$A,$A51,Лист2!$B:$B,$B51)</f>
        <v>31</v>
      </c>
      <c r="F51" s="3">
        <f>SUMIFS(Лист2!$D:$D,Лист2!$A:$A,$A51,Лист2!$B:$B,$B51)</f>
        <v>5120</v>
      </c>
      <c r="G51" s="3">
        <f>SUMIFS(Лист2!$E:$E,Лист2!$A:$A,$A51,Лист2!$B:$B,$B51)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>
        <f>SUMIFS(Лист2!$C:$C,Лист2!$A:$A,$A52,Лист2!$B:$B,$B52)</f>
        <v>31</v>
      </c>
      <c r="F52" s="3">
        <f>SUMIFS(Лист2!$D:$D,Лист2!$A:$A,$A52,Лист2!$B:$B,$B52)</f>
        <v>5495</v>
      </c>
      <c r="G52" s="3">
        <f>SUMIFS(Лист2!$E:$E,Лист2!$A:$A,$A52,Лист2!$B:$B,$B52)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>
        <f>SUMIFS(Лист2!$C:$C,Лист2!$A:$A,$A53,Лист2!$B:$B,$B53)</f>
        <v>31</v>
      </c>
      <c r="F53" s="3">
        <f>SUMIFS(Лист2!$D:$D,Лист2!$A:$A,$A53,Лист2!$B:$B,$B53)</f>
        <v>4635</v>
      </c>
      <c r="G53" s="3">
        <f>SUMIFS(Лист2!$E:$E,Лист2!$A:$A,$A53,Лист2!$B:$B,$B53)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>
        <f>SUMIFS(Лист2!$C:$C,Лист2!$A:$A,$A54,Лист2!$B:$B,$B54)</f>
        <v>31</v>
      </c>
      <c r="F54" s="3">
        <f>SUMIFS(Лист2!$D:$D,Лист2!$A:$A,$A54,Лист2!$B:$B,$B54)</f>
        <v>4903</v>
      </c>
      <c r="G54" s="3">
        <f>SUMIFS(Лист2!$E:$E,Лист2!$A:$A,$A54,Лист2!$B:$B,$B54)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>
        <f>SUMIFS(Лист2!$C:$C,Лист2!$A:$A,$A55,Лист2!$B:$B,$B55)</f>
        <v>31</v>
      </c>
      <c r="F55" s="3">
        <f>SUMIFS(Лист2!$D:$D,Лист2!$A:$A,$A55,Лист2!$B:$B,$B55)</f>
        <v>5035</v>
      </c>
      <c r="G55" s="3">
        <f>SUMIFS(Лист2!$E:$E,Лист2!$A:$A,$A55,Лист2!$B:$B,$B55)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>
        <f>SUMIFS(Лист2!$C:$C,Лист2!$A:$A,$A56,Лист2!$B:$B,$B56)</f>
        <v>10</v>
      </c>
      <c r="F56" s="3">
        <f>SUMIFS(Лист2!$D:$D,Лист2!$A:$A,$A56,Лист2!$B:$B,$B56)</f>
        <v>760</v>
      </c>
      <c r="G56" s="3">
        <f>SUMIFS(Лист2!$E:$E,Лист2!$A:$A,$A56,Лист2!$B:$B,$B56)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>
        <f>SUMIFS(Лист2!$C:$C,Лист2!$A:$A,$A57,Лист2!$B:$B,$B57)</f>
        <v>10</v>
      </c>
      <c r="F57" s="3">
        <f>SUMIFS(Лист2!$D:$D,Лист2!$A:$A,$A57,Лист2!$B:$B,$B57)</f>
        <v>649</v>
      </c>
      <c r="G57" s="3">
        <f>SUMIFS(Лист2!$E:$E,Лист2!$A:$A,$A57,Лист2!$B:$B,$B57)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>
        <f>SUMIFS(Лист2!$C:$C,Лист2!$A:$A,$A58,Лист2!$B:$B,$B58)</f>
        <v>10</v>
      </c>
      <c r="F58" s="3">
        <f>SUMIFS(Лист2!$D:$D,Лист2!$A:$A,$A58,Лист2!$B:$B,$B58)</f>
        <v>591</v>
      </c>
      <c r="G58" s="3">
        <f>SUMIFS(Лист2!$E:$E,Лист2!$A:$A,$A58,Лист2!$B:$B,$B58)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>
        <f>SUMIFS(Лист2!$C:$C,Лист2!$A:$A,$A59,Лист2!$B:$B,$B59)</f>
        <v>10</v>
      </c>
      <c r="F59" s="3">
        <f>SUMIFS(Лист2!$D:$D,Лист2!$A:$A,$A59,Лист2!$B:$B,$B59)</f>
        <v>644</v>
      </c>
      <c r="G59" s="3">
        <f>SUMIFS(Лист2!$E:$E,Лист2!$A:$A,$A59,Лист2!$B:$B,$B59)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>
        <f>SUMIFS(Лист2!$C:$C,Лист2!$A:$A,$A60,Лист2!$B:$B,$B60)</f>
        <v>10</v>
      </c>
      <c r="F60" s="3">
        <f>SUMIFS(Лист2!$D:$D,Лист2!$A:$A,$A60,Лист2!$B:$B,$B60)</f>
        <v>462</v>
      </c>
      <c r="G60" s="3">
        <f>SUMIFS(Лист2!$E:$E,Лист2!$A:$A,$A60,Лист2!$B:$B,$B60)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>
        <f>SUMIFS(Лист2!$C:$C,Лист2!$A:$A,$A61,Лист2!$B:$B,$B61)</f>
        <v>10</v>
      </c>
      <c r="F61" s="3">
        <f>SUMIFS(Лист2!$D:$D,Лист2!$A:$A,$A61,Лист2!$B:$B,$B61)</f>
        <v>502</v>
      </c>
      <c r="G61" s="3">
        <f>SUMIFS(Лист2!$E:$E,Лист2!$A:$A,$A61,Лист2!$B:$B,$B61)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>
        <f>SUMIFS(Лист2!$C:$C,Лист2!$A:$A,$A62,Лист2!$B:$B,$B62)</f>
        <v>10</v>
      </c>
      <c r="F62" s="3">
        <f>SUMIFS(Лист2!$D:$D,Лист2!$A:$A,$A62,Лист2!$B:$B,$B62)</f>
        <v>416</v>
      </c>
      <c r="G62" s="3">
        <f>SUMIFS(Лист2!$E:$E,Лист2!$A:$A,$A62,Лист2!$B:$B,$B62)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>
        <f>SUMIFS(Лист2!$C:$C,Лист2!$A:$A,$A63,Лист2!$B:$B,$B63)</f>
        <v>10</v>
      </c>
      <c r="F63" s="3">
        <f>SUMIFS(Лист2!$D:$D,Лист2!$A:$A,$A63,Лист2!$B:$B,$B63)</f>
        <v>692</v>
      </c>
      <c r="G63" s="3">
        <f>SUMIFS(Лист2!$E:$E,Лист2!$A:$A,$A63,Лист2!$B:$B,$B63)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>
        <f>SUMIFS(Лист2!$C:$C,Лист2!$A:$A,$A64,Лист2!$B:$B,$B64)</f>
        <v>10</v>
      </c>
      <c r="F64" s="3">
        <f>SUMIFS(Лист2!$D:$D,Лист2!$A:$A,$A64,Лист2!$B:$B,$B64)</f>
        <v>554</v>
      </c>
      <c r="G64" s="3">
        <f>SUMIFS(Лист2!$E:$E,Лист2!$A:$A,$A64,Лист2!$B:$B,$B64)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>
        <f>SUMIFS(Лист2!$C:$C,Лист2!$A:$A,$A65,Лист2!$B:$B,$B65)</f>
        <v>10</v>
      </c>
      <c r="F65" s="3">
        <f>SUMIFS(Лист2!$D:$D,Лист2!$A:$A,$A65,Лист2!$B:$B,$B65)</f>
        <v>526</v>
      </c>
      <c r="G65" s="3">
        <f>SUMIFS(Лист2!$E:$E,Лист2!$A:$A,$A65,Лист2!$B:$B,$B65)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>
        <f>SUMIFS(Лист2!$C:$C,Лист2!$A:$A,$A66,Лист2!$B:$B,$B66)</f>
        <v>10</v>
      </c>
      <c r="F66" s="3">
        <f>SUMIFS(Лист2!$D:$D,Лист2!$A:$A,$A66,Лист2!$B:$B,$B66)</f>
        <v>677</v>
      </c>
      <c r="G66" s="3">
        <f>SUMIFS(Лист2!$E:$E,Лист2!$A:$A,$A66,Лист2!$B:$B,$B66)</f>
        <v>591</v>
      </c>
      <c r="H66">
        <f t="shared" ref="H66:H129" si="2">IFERROR(D66/E66,0)</f>
        <v>93552.3</v>
      </c>
      <c r="I66">
        <f t="shared" ref="I66:I129" si="3">WEEKNUM(A66,2)</f>
        <v>21</v>
      </c>
    </row>
    <row r="67" spans="1:9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>
        <f>SUMIFS(Лист2!$C:$C,Лист2!$A:$A,$A67,Лист2!$B:$B,$B67)</f>
        <v>10</v>
      </c>
      <c r="F67" s="3">
        <f>SUMIFS(Лист2!$D:$D,Лист2!$A:$A,$A67,Лист2!$B:$B,$B67)</f>
        <v>745</v>
      </c>
      <c r="G67" s="3">
        <f>SUMIFS(Лист2!$E:$E,Лист2!$A:$A,$A67,Лист2!$B:$B,$B67)</f>
        <v>654</v>
      </c>
      <c r="H67">
        <f t="shared" si="2"/>
        <v>103724.7</v>
      </c>
      <c r="I67">
        <f t="shared" si="3"/>
        <v>21</v>
      </c>
    </row>
    <row r="68" spans="1:9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>
        <f>SUMIFS(Лист2!$C:$C,Лист2!$A:$A,$A68,Лист2!$B:$B,$B68)</f>
        <v>10</v>
      </c>
      <c r="F68" s="3">
        <f>SUMIFS(Лист2!$D:$D,Лист2!$A:$A,$A68,Лист2!$B:$B,$B68)</f>
        <v>511</v>
      </c>
      <c r="G68" s="3">
        <f>SUMIFS(Лист2!$E:$E,Лист2!$A:$A,$A68,Лист2!$B:$B,$B68)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>
        <f>SUMIFS(Лист2!$C:$C,Лист2!$A:$A,$A69,Лист2!$B:$B,$B69)</f>
        <v>10</v>
      </c>
      <c r="F69" s="3">
        <f>SUMIFS(Лист2!$D:$D,Лист2!$A:$A,$A69,Лист2!$B:$B,$B69)</f>
        <v>580</v>
      </c>
      <c r="G69" s="3">
        <f>SUMIFS(Лист2!$E:$E,Лист2!$A:$A,$A69,Лист2!$B:$B,$B69)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>
        <f>SUMIFS(Лист2!$C:$C,Лист2!$A:$A,$A70,Лист2!$B:$B,$B70)</f>
        <v>10</v>
      </c>
      <c r="F70" s="3">
        <f>SUMIFS(Лист2!$D:$D,Лист2!$A:$A,$A70,Лист2!$B:$B,$B70)</f>
        <v>612</v>
      </c>
      <c r="G70" s="3">
        <f>SUMIFS(Лист2!$E:$E,Лист2!$A:$A,$A70,Лист2!$B:$B,$B70)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>
        <f>SUMIFS(Лист2!$C:$C,Лист2!$A:$A,$A71,Лист2!$B:$B,$B71)</f>
        <v>31</v>
      </c>
      <c r="F71" s="3">
        <f>SUMIFS(Лист2!$D:$D,Лист2!$A:$A,$A71,Лист2!$B:$B,$B71)</f>
        <v>5760</v>
      </c>
      <c r="G71" s="3">
        <f>SUMIFS(Лист2!$E:$E,Лист2!$A:$A,$A71,Лист2!$B:$B,$B71)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>
        <f>SUMIFS(Лист2!$C:$C,Лист2!$A:$A,$A72,Лист2!$B:$B,$B72)</f>
        <v>10</v>
      </c>
      <c r="F72" s="3">
        <f>SUMIFS(Лист2!$D:$D,Лист2!$A:$A,$A72,Лист2!$B:$B,$B72)</f>
        <v>402</v>
      </c>
      <c r="G72" s="3">
        <f>SUMIFS(Лист2!$E:$E,Лист2!$A:$A,$A72,Лист2!$B:$B,$B72)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>
        <f>SUMIFS(Лист2!$C:$C,Лист2!$A:$A,$A73,Лист2!$B:$B,$B73)</f>
        <v>31</v>
      </c>
      <c r="F73" s="3">
        <f>SUMIFS(Лист2!$D:$D,Лист2!$A:$A,$A73,Лист2!$B:$B,$B73)</f>
        <v>6735</v>
      </c>
      <c r="G73" s="3">
        <f>SUMIFS(Лист2!$E:$E,Лист2!$A:$A,$A73,Лист2!$B:$B,$B73)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>
        <f>SUMIFS(Лист2!$C:$C,Лист2!$A:$A,$A74,Лист2!$B:$B,$B74)</f>
        <v>10</v>
      </c>
      <c r="F74" s="3">
        <f>SUMIFS(Лист2!$D:$D,Лист2!$A:$A,$A74,Лист2!$B:$B,$B74)</f>
        <v>465</v>
      </c>
      <c r="G74" s="3">
        <f>SUMIFS(Лист2!$E:$E,Лист2!$A:$A,$A74,Лист2!$B:$B,$B74)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>
        <f>SUMIFS(Лист2!$C:$C,Лист2!$A:$A,$A75,Лист2!$B:$B,$B75)</f>
        <v>10</v>
      </c>
      <c r="F75" s="3">
        <f>SUMIFS(Лист2!$D:$D,Лист2!$A:$A,$A75,Лист2!$B:$B,$B75)</f>
        <v>828</v>
      </c>
      <c r="G75" s="3">
        <f>SUMIFS(Лист2!$E:$E,Лист2!$A:$A,$A75,Лист2!$B:$B,$B75)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>
        <f>SUMIFS(Лист2!$C:$C,Лист2!$A:$A,$A76,Лист2!$B:$B,$B76)</f>
        <v>31</v>
      </c>
      <c r="F76" s="3">
        <f>SUMIFS(Лист2!$D:$D,Лист2!$A:$A,$A76,Лист2!$B:$B,$B76)</f>
        <v>5355</v>
      </c>
      <c r="G76" s="3">
        <f>SUMIFS(Лист2!$E:$E,Лист2!$A:$A,$A76,Лист2!$B:$B,$B76)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>
        <f>SUMIFS(Лист2!$C:$C,Лист2!$A:$A,$A77,Лист2!$B:$B,$B77)</f>
        <v>10</v>
      </c>
      <c r="F77" s="3">
        <f>SUMIFS(Лист2!$D:$D,Лист2!$A:$A,$A77,Лист2!$B:$B,$B77)</f>
        <v>739</v>
      </c>
      <c r="G77" s="3">
        <f>SUMIFS(Лист2!$E:$E,Лист2!$A:$A,$A77,Лист2!$B:$B,$B77)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>
        <f>SUMIFS(Лист2!$C:$C,Лист2!$A:$A,$A78,Лист2!$B:$B,$B78)</f>
        <v>10</v>
      </c>
      <c r="F78" s="3">
        <f>SUMIFS(Лист2!$D:$D,Лист2!$A:$A,$A78,Лист2!$B:$B,$B78)</f>
        <v>448</v>
      </c>
      <c r="G78" s="3">
        <f>SUMIFS(Лист2!$E:$E,Лист2!$A:$A,$A78,Лист2!$B:$B,$B78)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>
        <f>SUMIFS(Лист2!$C:$C,Лист2!$A:$A,$A79,Лист2!$B:$B,$B79)</f>
        <v>10</v>
      </c>
      <c r="F79" s="3">
        <f>SUMIFS(Лист2!$D:$D,Лист2!$A:$A,$A79,Лист2!$B:$B,$B79)</f>
        <v>642</v>
      </c>
      <c r="G79" s="3">
        <f>SUMIFS(Лист2!$E:$E,Лист2!$A:$A,$A79,Лист2!$B:$B,$B79)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>
        <f>SUMIFS(Лист2!$C:$C,Лист2!$A:$A,$A80,Лист2!$B:$B,$B80)</f>
        <v>10</v>
      </c>
      <c r="F80" s="3">
        <f>SUMIFS(Лист2!$D:$D,Лист2!$A:$A,$A80,Лист2!$B:$B,$B80)</f>
        <v>638</v>
      </c>
      <c r="G80" s="3">
        <f>SUMIFS(Лист2!$E:$E,Лист2!$A:$A,$A80,Лист2!$B:$B,$B80)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>
        <f>SUMIFS(Лист2!$C:$C,Лист2!$A:$A,$A81,Лист2!$B:$B,$B81)</f>
        <v>10</v>
      </c>
      <c r="F81" s="3">
        <f>SUMIFS(Лист2!$D:$D,Лист2!$A:$A,$A81,Лист2!$B:$B,$B81)</f>
        <v>563</v>
      </c>
      <c r="G81" s="3">
        <f>SUMIFS(Лист2!$E:$E,Лист2!$A:$A,$A81,Лист2!$B:$B,$B81)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>
        <f>SUMIFS(Лист2!$C:$C,Лист2!$A:$A,$A82,Лист2!$B:$B,$B82)</f>
        <v>10</v>
      </c>
      <c r="F82" s="3">
        <f>SUMIFS(Лист2!$D:$D,Лист2!$A:$A,$A82,Лист2!$B:$B,$B82)</f>
        <v>639</v>
      </c>
      <c r="G82" s="3">
        <f>SUMIFS(Лист2!$E:$E,Лист2!$A:$A,$A82,Лист2!$B:$B,$B82)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>
        <f>SUMIFS(Лист2!$C:$C,Лист2!$A:$A,$A83,Лист2!$B:$B,$B83)</f>
        <v>10</v>
      </c>
      <c r="F83" s="3">
        <f>SUMIFS(Лист2!$D:$D,Лист2!$A:$A,$A83,Лист2!$B:$B,$B83)</f>
        <v>749</v>
      </c>
      <c r="G83" s="3">
        <f>SUMIFS(Лист2!$E:$E,Лист2!$A:$A,$A83,Лист2!$B:$B,$B83)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>
        <f>SUMIFS(Лист2!$C:$C,Лист2!$A:$A,$A84,Лист2!$B:$B,$B84)</f>
        <v>10</v>
      </c>
      <c r="F84" s="3">
        <f>SUMIFS(Лист2!$D:$D,Лист2!$A:$A,$A84,Лист2!$B:$B,$B84)</f>
        <v>865</v>
      </c>
      <c r="G84" s="3">
        <f>SUMIFS(Лист2!$E:$E,Лист2!$A:$A,$A84,Лист2!$B:$B,$B84)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>
        <f>SUMIFS(Лист2!$C:$C,Лист2!$A:$A,$A85,Лист2!$B:$B,$B85)</f>
        <v>10</v>
      </c>
      <c r="F85" s="3">
        <f>SUMIFS(Лист2!$D:$D,Лист2!$A:$A,$A85,Лист2!$B:$B,$B85)</f>
        <v>791</v>
      </c>
      <c r="G85" s="3">
        <f>SUMIFS(Лист2!$E:$E,Лист2!$A:$A,$A85,Лист2!$B:$B,$B85)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>
        <f>SUMIFS(Лист2!$C:$C,Лист2!$A:$A,$A86,Лист2!$B:$B,$B86)</f>
        <v>19</v>
      </c>
      <c r="F86" s="3">
        <f>SUMIFS(Лист2!$D:$D,Лист2!$A:$A,$A86,Лист2!$B:$B,$B86)</f>
        <v>2080</v>
      </c>
      <c r="G86" s="3">
        <f>SUMIFS(Лист2!$E:$E,Лист2!$A:$A,$A86,Лист2!$B:$B,$B86)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>
        <f>SUMIFS(Лист2!$C:$C,Лист2!$A:$A,$A87,Лист2!$B:$B,$B87)</f>
        <v>19</v>
      </c>
      <c r="F87" s="3">
        <f>SUMIFS(Лист2!$D:$D,Лист2!$A:$A,$A87,Лист2!$B:$B,$B87)</f>
        <v>1999</v>
      </c>
      <c r="G87" s="3">
        <f>SUMIFS(Лист2!$E:$E,Лист2!$A:$A,$A87,Лист2!$B:$B,$B87)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>
        <f>SUMIFS(Лист2!$C:$C,Лист2!$A:$A,$A88,Лист2!$B:$B,$B88)</f>
        <v>19</v>
      </c>
      <c r="F88" s="3">
        <f>SUMIFS(Лист2!$D:$D,Лист2!$A:$A,$A88,Лист2!$B:$B,$B88)</f>
        <v>1871</v>
      </c>
      <c r="G88" s="3">
        <f>SUMIFS(Лист2!$E:$E,Лист2!$A:$A,$A88,Лист2!$B:$B,$B88)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>
        <f>SUMIFS(Лист2!$C:$C,Лист2!$A:$A,$A89,Лист2!$B:$B,$B89)</f>
        <v>19</v>
      </c>
      <c r="F89" s="3">
        <f>SUMIFS(Лист2!$D:$D,Лист2!$A:$A,$A89,Лист2!$B:$B,$B89)</f>
        <v>1851</v>
      </c>
      <c r="G89" s="3">
        <f>SUMIFS(Лист2!$E:$E,Лист2!$A:$A,$A89,Лист2!$B:$B,$B89)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>
        <f>SUMIFS(Лист2!$C:$C,Лист2!$A:$A,$A90,Лист2!$B:$B,$B90)</f>
        <v>19</v>
      </c>
      <c r="F90" s="3">
        <f>SUMIFS(Лист2!$D:$D,Лист2!$A:$A,$A90,Лист2!$B:$B,$B90)</f>
        <v>1582</v>
      </c>
      <c r="G90" s="3">
        <f>SUMIFS(Лист2!$E:$E,Лист2!$A:$A,$A90,Лист2!$B:$B,$B90)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>
        <f>SUMIFS(Лист2!$C:$C,Лист2!$A:$A,$A91,Лист2!$B:$B,$B91)</f>
        <v>18</v>
      </c>
      <c r="F91" s="3">
        <f>SUMIFS(Лист2!$D:$D,Лист2!$A:$A,$A91,Лист2!$B:$B,$B91)</f>
        <v>1534</v>
      </c>
      <c r="G91" s="3">
        <f>SUMIFS(Лист2!$E:$E,Лист2!$A:$A,$A91,Лист2!$B:$B,$B91)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>
        <f>SUMIFS(Лист2!$C:$C,Лист2!$A:$A,$A92,Лист2!$B:$B,$B92)</f>
        <v>19</v>
      </c>
      <c r="F92" s="3">
        <f>SUMIFS(Лист2!$D:$D,Лист2!$A:$A,$A92,Лист2!$B:$B,$B92)</f>
        <v>1217</v>
      </c>
      <c r="G92" s="3">
        <f>SUMIFS(Лист2!$E:$E,Лист2!$A:$A,$A92,Лист2!$B:$B,$B92)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>
        <f>SUMIFS(Лист2!$C:$C,Лист2!$A:$A,$A93,Лист2!$B:$B,$B93)</f>
        <v>20</v>
      </c>
      <c r="F93" s="3">
        <f>SUMIFS(Лист2!$D:$D,Лист2!$A:$A,$A93,Лист2!$B:$B,$B93)</f>
        <v>2036</v>
      </c>
      <c r="G93" s="3">
        <f>SUMIFS(Лист2!$E:$E,Лист2!$A:$A,$A93,Лист2!$B:$B,$B93)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>
        <f>SUMIFS(Лист2!$C:$C,Лист2!$A:$A,$A94,Лист2!$B:$B,$B94)</f>
        <v>19</v>
      </c>
      <c r="F94" s="3">
        <f>SUMIFS(Лист2!$D:$D,Лист2!$A:$A,$A94,Лист2!$B:$B,$B94)</f>
        <v>1497</v>
      </c>
      <c r="G94" s="3">
        <f>SUMIFS(Лист2!$E:$E,Лист2!$A:$A,$A94,Лист2!$B:$B,$B94)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>
        <f>SUMIFS(Лист2!$C:$C,Лист2!$A:$A,$A95,Лист2!$B:$B,$B95)</f>
        <v>19</v>
      </c>
      <c r="F95" s="3">
        <f>SUMIFS(Лист2!$D:$D,Лист2!$A:$A,$A95,Лист2!$B:$B,$B95)</f>
        <v>1649</v>
      </c>
      <c r="G95" s="3">
        <f>SUMIFS(Лист2!$E:$E,Лист2!$A:$A,$A95,Лист2!$B:$B,$B95)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>
        <f>SUMIFS(Лист2!$C:$C,Лист2!$A:$A,$A96,Лист2!$B:$B,$B96)</f>
        <v>19</v>
      </c>
      <c r="F96" s="3">
        <f>SUMIFS(Лист2!$D:$D,Лист2!$A:$A,$A96,Лист2!$B:$B,$B96)</f>
        <v>1949</v>
      </c>
      <c r="G96" s="3">
        <f>SUMIFS(Лист2!$E:$E,Лист2!$A:$A,$A96,Лист2!$B:$B,$B96)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>
        <f>SUMIFS(Лист2!$C:$C,Лист2!$A:$A,$A97,Лист2!$B:$B,$B97)</f>
        <v>19</v>
      </c>
      <c r="F97" s="3">
        <f>SUMIFS(Лист2!$D:$D,Лист2!$A:$A,$A97,Лист2!$B:$B,$B97)</f>
        <v>1889</v>
      </c>
      <c r="G97" s="3">
        <f>SUMIFS(Лист2!$E:$E,Лист2!$A:$A,$A97,Лист2!$B:$B,$B97)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>
        <f>SUMIFS(Лист2!$C:$C,Лист2!$A:$A,$A98,Лист2!$B:$B,$B98)</f>
        <v>19</v>
      </c>
      <c r="F98" s="3">
        <f>SUMIFS(Лист2!$D:$D,Лист2!$A:$A,$A98,Лист2!$B:$B,$B98)</f>
        <v>1417</v>
      </c>
      <c r="G98" s="3">
        <f>SUMIFS(Лист2!$E:$E,Лист2!$A:$A,$A98,Лист2!$B:$B,$B98)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>
        <f>SUMIFS(Лист2!$C:$C,Лист2!$A:$A,$A99,Лист2!$B:$B,$B99)</f>
        <v>17</v>
      </c>
      <c r="F99" s="3">
        <f>SUMIFS(Лист2!$D:$D,Лист2!$A:$A,$A99,Лист2!$B:$B,$B99)</f>
        <v>1439</v>
      </c>
      <c r="G99" s="3">
        <f>SUMIFS(Лист2!$E:$E,Лист2!$A:$A,$A99,Лист2!$B:$B,$B99)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>
        <f>SUMIFS(Лист2!$C:$C,Лист2!$A:$A,$A100,Лист2!$B:$B,$B100)</f>
        <v>19</v>
      </c>
      <c r="F100" s="3">
        <f>SUMIFS(Лист2!$D:$D,Лист2!$A:$A,$A100,Лист2!$B:$B,$B100)</f>
        <v>1625</v>
      </c>
      <c r="G100" s="3">
        <f>SUMIFS(Лист2!$E:$E,Лист2!$A:$A,$A100,Лист2!$B:$B,$B100)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>
        <f>SUMIFS(Лист2!$C:$C,Лист2!$A:$A,$A101,Лист2!$B:$B,$B101)</f>
        <v>19</v>
      </c>
      <c r="F101" s="3">
        <f>SUMIFS(Лист2!$D:$D,Лист2!$A:$A,$A101,Лист2!$B:$B,$B101)</f>
        <v>1402</v>
      </c>
      <c r="G101" s="3">
        <f>SUMIFS(Лист2!$E:$E,Лист2!$A:$A,$A101,Лист2!$B:$B,$B101)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>
        <f>SUMIFS(Лист2!$C:$C,Лист2!$A:$A,$A102,Лист2!$B:$B,$B102)</f>
        <v>19</v>
      </c>
      <c r="F102" s="3">
        <f>SUMIFS(Лист2!$D:$D,Лист2!$A:$A,$A102,Лист2!$B:$B,$B102)</f>
        <v>1499</v>
      </c>
      <c r="G102" s="3">
        <f>SUMIFS(Лист2!$E:$E,Лист2!$A:$A,$A102,Лист2!$B:$B,$B102)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>
        <f>SUMIFS(Лист2!$C:$C,Лист2!$A:$A,$A103,Лист2!$B:$B,$B103)</f>
        <v>20</v>
      </c>
      <c r="F103" s="3">
        <f>SUMIFS(Лист2!$D:$D,Лист2!$A:$A,$A103,Лист2!$B:$B,$B103)</f>
        <v>2266</v>
      </c>
      <c r="G103" s="3">
        <f>SUMIFS(Лист2!$E:$E,Лист2!$A:$A,$A103,Лист2!$B:$B,$B103)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>
        <f>SUMIFS(Лист2!$C:$C,Лист2!$A:$A,$A104,Лист2!$B:$B,$B104)</f>
        <v>20</v>
      </c>
      <c r="F104" s="3">
        <f>SUMIFS(Лист2!$D:$D,Лист2!$A:$A,$A104,Лист2!$B:$B,$B104)</f>
        <v>2011</v>
      </c>
      <c r="G104" s="3">
        <f>SUMIFS(Лист2!$E:$E,Лист2!$A:$A,$A104,Лист2!$B:$B,$B104)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>
        <f>SUMIFS(Лист2!$C:$C,Лист2!$A:$A,$A105,Лист2!$B:$B,$B105)</f>
        <v>19</v>
      </c>
      <c r="F105" s="3">
        <f>SUMIFS(Лист2!$D:$D,Лист2!$A:$A,$A105,Лист2!$B:$B,$B105)</f>
        <v>1499</v>
      </c>
      <c r="G105" s="3">
        <f>SUMIFS(Лист2!$E:$E,Лист2!$A:$A,$A105,Лист2!$B:$B,$B105)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>
        <f>SUMIFS(Лист2!$C:$C,Лист2!$A:$A,$A106,Лист2!$B:$B,$B106)</f>
        <v>19</v>
      </c>
      <c r="F106" s="3">
        <f>SUMIFS(Лист2!$D:$D,Лист2!$A:$A,$A106,Лист2!$B:$B,$B106)</f>
        <v>1848</v>
      </c>
      <c r="G106" s="3">
        <f>SUMIFS(Лист2!$E:$E,Лист2!$A:$A,$A106,Лист2!$B:$B,$B106)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>
        <f>SUMIFS(Лист2!$C:$C,Лист2!$A:$A,$A107,Лист2!$B:$B,$B107)</f>
        <v>19</v>
      </c>
      <c r="F107" s="3">
        <f>SUMIFS(Лист2!$D:$D,Лист2!$A:$A,$A107,Лист2!$B:$B,$B107)</f>
        <v>1522</v>
      </c>
      <c r="G107" s="3">
        <f>SUMIFS(Лист2!$E:$E,Лист2!$A:$A,$A107,Лист2!$B:$B,$B107)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>
        <f>SUMIFS(Лист2!$C:$C,Лист2!$A:$A,$A108,Лист2!$B:$B,$B108)</f>
        <v>19</v>
      </c>
      <c r="F108" s="3">
        <f>SUMIFS(Лист2!$D:$D,Лист2!$A:$A,$A108,Лист2!$B:$B,$B108)</f>
        <v>1530</v>
      </c>
      <c r="G108" s="3">
        <f>SUMIFS(Лист2!$E:$E,Лист2!$A:$A,$A108,Лист2!$B:$B,$B108)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>
        <f>SUMIFS(Лист2!$C:$C,Лист2!$A:$A,$A109,Лист2!$B:$B,$B109)</f>
        <v>20</v>
      </c>
      <c r="F109" s="3">
        <f>SUMIFS(Лист2!$D:$D,Лист2!$A:$A,$A109,Лист2!$B:$B,$B109)</f>
        <v>2015</v>
      </c>
      <c r="G109" s="3">
        <f>SUMIFS(Лист2!$E:$E,Лист2!$A:$A,$A109,Лист2!$B:$B,$B109)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>
        <f>SUMIFS(Лист2!$C:$C,Лист2!$A:$A,$A110,Лист2!$B:$B,$B110)</f>
        <v>20</v>
      </c>
      <c r="F110" s="3">
        <f>SUMIFS(Лист2!$D:$D,Лист2!$A:$A,$A110,Лист2!$B:$B,$B110)</f>
        <v>2060</v>
      </c>
      <c r="G110" s="3">
        <f>SUMIFS(Лист2!$E:$E,Лист2!$A:$A,$A110,Лист2!$B:$B,$B110)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>
        <f>SUMIFS(Лист2!$C:$C,Лист2!$A:$A,$A111,Лист2!$B:$B,$B111)</f>
        <v>20</v>
      </c>
      <c r="F111" s="3">
        <f>SUMIFS(Лист2!$D:$D,Лист2!$A:$A,$A111,Лист2!$B:$B,$B111)</f>
        <v>2451</v>
      </c>
      <c r="G111" s="3">
        <f>SUMIFS(Лист2!$E:$E,Лист2!$A:$A,$A111,Лист2!$B:$B,$B111)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>
        <f>SUMIFS(Лист2!$C:$C,Лист2!$A:$A,$A112,Лист2!$B:$B,$B112)</f>
        <v>20</v>
      </c>
      <c r="F112" s="3">
        <f>SUMIFS(Лист2!$D:$D,Лист2!$A:$A,$A112,Лист2!$B:$B,$B112)</f>
        <v>2088</v>
      </c>
      <c r="G112" s="3">
        <f>SUMIFS(Лист2!$E:$E,Лист2!$A:$A,$A112,Лист2!$B:$B,$B112)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>
        <f>SUMIFS(Лист2!$C:$C,Лист2!$A:$A,$A113,Лист2!$B:$B,$B113)</f>
        <v>129</v>
      </c>
      <c r="F113" s="3">
        <f>SUMIFS(Лист2!$D:$D,Лист2!$A:$A,$A113,Лист2!$B:$B,$B113)</f>
        <v>17914</v>
      </c>
      <c r="G113" s="3">
        <f>SUMIFS(Лист2!$E:$E,Лист2!$A:$A,$A113,Лист2!$B:$B,$B113)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>
        <f>SUMIFS(Лист2!$C:$C,Лист2!$A:$A,$A114,Лист2!$B:$B,$B114)</f>
        <v>129</v>
      </c>
      <c r="F114" s="3">
        <f>SUMIFS(Лист2!$D:$D,Лист2!$A:$A,$A114,Лист2!$B:$B,$B114)</f>
        <v>16191</v>
      </c>
      <c r="G114" s="3">
        <f>SUMIFS(Лист2!$E:$E,Лист2!$A:$A,$A114,Лист2!$B:$B,$B114)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>
        <f>SUMIFS(Лист2!$C:$C,Лист2!$A:$A,$A115,Лист2!$B:$B,$B115)</f>
        <v>129</v>
      </c>
      <c r="F115" s="3">
        <f>SUMIFS(Лист2!$D:$D,Лист2!$A:$A,$A115,Лист2!$B:$B,$B115)</f>
        <v>15744</v>
      </c>
      <c r="G115" s="3">
        <f>SUMIFS(Лист2!$E:$E,Лист2!$A:$A,$A115,Лист2!$B:$B,$B115)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>
        <f>SUMIFS(Лист2!$C:$C,Лист2!$A:$A,$A116,Лист2!$B:$B,$B116)</f>
        <v>129</v>
      </c>
      <c r="F116" s="3">
        <f>SUMIFS(Лист2!$D:$D,Лист2!$A:$A,$A116,Лист2!$B:$B,$B116)</f>
        <v>16420</v>
      </c>
      <c r="G116" s="3">
        <f>SUMIFS(Лист2!$E:$E,Лист2!$A:$A,$A116,Лист2!$B:$B,$B116)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>
        <f>SUMIFS(Лист2!$C:$C,Лист2!$A:$A,$A117,Лист2!$B:$B,$B117)</f>
        <v>129</v>
      </c>
      <c r="F117" s="3">
        <f>SUMIFS(Лист2!$D:$D,Лист2!$A:$A,$A117,Лист2!$B:$B,$B117)</f>
        <v>16525</v>
      </c>
      <c r="G117" s="3">
        <f>SUMIFS(Лист2!$E:$E,Лист2!$A:$A,$A117,Лист2!$B:$B,$B117)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>
        <f>SUMIFS(Лист2!$C:$C,Лист2!$A:$A,$A118,Лист2!$B:$B,$B118)</f>
        <v>128</v>
      </c>
      <c r="F118" s="3">
        <f>SUMIFS(Лист2!$D:$D,Лист2!$A:$A,$A118,Лист2!$B:$B,$B118)</f>
        <v>17368</v>
      </c>
      <c r="G118" s="3">
        <f>SUMIFS(Лист2!$E:$E,Лист2!$A:$A,$A118,Лист2!$B:$B,$B118)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>
        <f>SUMIFS(Лист2!$C:$C,Лист2!$A:$A,$A119,Лист2!$B:$B,$B119)</f>
        <v>129</v>
      </c>
      <c r="F119" s="3">
        <f>SUMIFS(Лист2!$D:$D,Лист2!$A:$A,$A119,Лист2!$B:$B,$B119)</f>
        <v>14009</v>
      </c>
      <c r="G119" s="3">
        <f>SUMIFS(Лист2!$E:$E,Лист2!$A:$A,$A119,Лист2!$B:$B,$B119)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>
        <f>SUMIFS(Лист2!$C:$C,Лист2!$A:$A,$A120,Лист2!$B:$B,$B120)</f>
        <v>129</v>
      </c>
      <c r="F120" s="3">
        <f>SUMIFS(Лист2!$D:$D,Лист2!$A:$A,$A120,Лист2!$B:$B,$B120)</f>
        <v>16459</v>
      </c>
      <c r="G120" s="3">
        <f>SUMIFS(Лист2!$E:$E,Лист2!$A:$A,$A120,Лист2!$B:$B,$B120)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>
        <f>SUMIFS(Лист2!$C:$C,Лист2!$A:$A,$A121,Лист2!$B:$B,$B121)</f>
        <v>129</v>
      </c>
      <c r="F121" s="3">
        <f>SUMIFS(Лист2!$D:$D,Лист2!$A:$A,$A121,Лист2!$B:$B,$B121)</f>
        <v>17002</v>
      </c>
      <c r="G121" s="3">
        <f>SUMIFS(Лист2!$E:$E,Лист2!$A:$A,$A121,Лист2!$B:$B,$B121)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>
        <f>SUMIFS(Лист2!$C:$C,Лист2!$A:$A,$A122,Лист2!$B:$B,$B122)</f>
        <v>129</v>
      </c>
      <c r="F122" s="3">
        <f>SUMIFS(Лист2!$D:$D,Лист2!$A:$A,$A122,Лист2!$B:$B,$B122)</f>
        <v>16387</v>
      </c>
      <c r="G122" s="3">
        <f>SUMIFS(Лист2!$E:$E,Лист2!$A:$A,$A122,Лист2!$B:$B,$B122)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>
        <f>SUMIFS(Лист2!$C:$C,Лист2!$A:$A,$A123,Лист2!$B:$B,$B123)</f>
        <v>129</v>
      </c>
      <c r="F123" s="3">
        <f>SUMIFS(Лист2!$D:$D,Лист2!$A:$A,$A123,Лист2!$B:$B,$B123)</f>
        <v>16373</v>
      </c>
      <c r="G123" s="3">
        <f>SUMIFS(Лист2!$E:$E,Лист2!$A:$A,$A123,Лист2!$B:$B,$B123)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>
        <f>SUMIFS(Лист2!$C:$C,Лист2!$A:$A,$A124,Лист2!$B:$B,$B124)</f>
        <v>129</v>
      </c>
      <c r="F124" s="3">
        <f>SUMIFS(Лист2!$D:$D,Лист2!$A:$A,$A124,Лист2!$B:$B,$B124)</f>
        <v>17095</v>
      </c>
      <c r="G124" s="3">
        <f>SUMIFS(Лист2!$E:$E,Лист2!$A:$A,$A124,Лист2!$B:$B,$B124)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>
        <f>SUMIFS(Лист2!$C:$C,Лист2!$A:$A,$A125,Лист2!$B:$B,$B125)</f>
        <v>129</v>
      </c>
      <c r="F125" s="3">
        <f>SUMIFS(Лист2!$D:$D,Лист2!$A:$A,$A125,Лист2!$B:$B,$B125)</f>
        <v>15665</v>
      </c>
      <c r="G125" s="3">
        <f>SUMIFS(Лист2!$E:$E,Лист2!$A:$A,$A125,Лист2!$B:$B,$B125)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>
        <f>SUMIFS(Лист2!$C:$C,Лист2!$A:$A,$A126,Лист2!$B:$B,$B126)</f>
        <v>128</v>
      </c>
      <c r="F126" s="3">
        <f>SUMIFS(Лист2!$D:$D,Лист2!$A:$A,$A126,Лист2!$B:$B,$B126)</f>
        <v>16450</v>
      </c>
      <c r="G126" s="3">
        <f>SUMIFS(Лист2!$E:$E,Лист2!$A:$A,$A126,Лист2!$B:$B,$B126)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>
        <f>SUMIFS(Лист2!$C:$C,Лист2!$A:$A,$A127,Лист2!$B:$B,$B127)</f>
        <v>129</v>
      </c>
      <c r="F127" s="3">
        <f>SUMIFS(Лист2!$D:$D,Лист2!$A:$A,$A127,Лист2!$B:$B,$B127)</f>
        <v>15304</v>
      </c>
      <c r="G127" s="3">
        <f>SUMIFS(Лист2!$E:$E,Лист2!$A:$A,$A127,Лист2!$B:$B,$B127)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>
        <f>SUMIFS(Лист2!$C:$C,Лист2!$A:$A,$A128,Лист2!$B:$B,$B128)</f>
        <v>129</v>
      </c>
      <c r="F128" s="3">
        <f>SUMIFS(Лист2!$D:$D,Лист2!$A:$A,$A128,Лист2!$B:$B,$B128)</f>
        <v>15778</v>
      </c>
      <c r="G128" s="3">
        <f>SUMIFS(Лист2!$E:$E,Лист2!$A:$A,$A128,Лист2!$B:$B,$B128)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>
        <f>SUMIFS(Лист2!$C:$C,Лист2!$A:$A,$A129,Лист2!$B:$B,$B129)</f>
        <v>129</v>
      </c>
      <c r="F129" s="3">
        <f>SUMIFS(Лист2!$D:$D,Лист2!$A:$A,$A129,Лист2!$B:$B,$B129)</f>
        <v>16376</v>
      </c>
      <c r="G129" s="3">
        <f>SUMIFS(Лист2!$E:$E,Лист2!$A:$A,$A129,Лист2!$B:$B,$B129)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>
        <f>SUMIFS(Лист2!$C:$C,Лист2!$A:$A,$A130,Лист2!$B:$B,$B130)</f>
        <v>129</v>
      </c>
      <c r="F130" s="3">
        <f>SUMIFS(Лист2!$D:$D,Лист2!$A:$A,$A130,Лист2!$B:$B,$B130)</f>
        <v>19856</v>
      </c>
      <c r="G130" s="3">
        <f>SUMIFS(Лист2!$E:$E,Лист2!$A:$A,$A130,Лист2!$B:$B,$B130)</f>
        <v>18325</v>
      </c>
      <c r="H130">
        <f t="shared" ref="H130:H193" si="4">IFERROR(D130/E130,0)</f>
        <v>272123.46288023255</v>
      </c>
      <c r="I130">
        <f t="shared" ref="I130:I193" si="5">WEEKNUM(A130,2)</f>
        <v>21</v>
      </c>
    </row>
    <row r="131" spans="1:9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>
        <f>SUMIFS(Лист2!$C:$C,Лист2!$A:$A,$A131,Лист2!$B:$B,$B131)</f>
        <v>129</v>
      </c>
      <c r="F131" s="3">
        <f>SUMIFS(Лист2!$D:$D,Лист2!$A:$A,$A131,Лист2!$B:$B,$B131)</f>
        <v>15822</v>
      </c>
      <c r="G131" s="3">
        <f>SUMIFS(Лист2!$E:$E,Лист2!$A:$A,$A131,Лист2!$B:$B,$B131)</f>
        <v>14753</v>
      </c>
      <c r="H131">
        <f t="shared" si="4"/>
        <v>210588.47674418605</v>
      </c>
      <c r="I131">
        <f t="shared" si="5"/>
        <v>22</v>
      </c>
    </row>
    <row r="132" spans="1:9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>
        <f>SUMIFS(Лист2!$C:$C,Лист2!$A:$A,$A132,Лист2!$B:$B,$B132)</f>
        <v>129</v>
      </c>
      <c r="F132" s="3">
        <f>SUMIFS(Лист2!$D:$D,Лист2!$A:$A,$A132,Лист2!$B:$B,$B132)</f>
        <v>18042</v>
      </c>
      <c r="G132" s="3">
        <f>SUMIFS(Лист2!$E:$E,Лист2!$A:$A,$A132,Лист2!$B:$B,$B132)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>
        <f>SUMIFS(Лист2!$C:$C,Лист2!$A:$A,$A133,Лист2!$B:$B,$B133)</f>
        <v>129</v>
      </c>
      <c r="F133" s="3">
        <f>SUMIFS(Лист2!$D:$D,Лист2!$A:$A,$A133,Лист2!$B:$B,$B133)</f>
        <v>16437</v>
      </c>
      <c r="G133" s="3">
        <f>SUMIFS(Лист2!$E:$E,Лист2!$A:$A,$A133,Лист2!$B:$B,$B133)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>
        <f>SUMIFS(Лист2!$C:$C,Лист2!$A:$A,$A134,Лист2!$B:$B,$B134)</f>
        <v>129</v>
      </c>
      <c r="F134" s="3">
        <f>SUMIFS(Лист2!$D:$D,Лист2!$A:$A,$A134,Лист2!$B:$B,$B134)</f>
        <v>20452</v>
      </c>
      <c r="G134" s="3">
        <f>SUMIFS(Лист2!$E:$E,Лист2!$A:$A,$A134,Лист2!$B:$B,$B134)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>
        <f>SUMIFS(Лист2!$C:$C,Лист2!$A:$A,$A135,Лист2!$B:$B,$B135)</f>
        <v>129</v>
      </c>
      <c r="F135" s="3">
        <f>SUMIFS(Лист2!$D:$D,Лист2!$A:$A,$A135,Лист2!$B:$B,$B135)</f>
        <v>14582</v>
      </c>
      <c r="G135" s="3">
        <f>SUMIFS(Лист2!$E:$E,Лист2!$A:$A,$A135,Лист2!$B:$B,$B135)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>
        <f>SUMIFS(Лист2!$C:$C,Лист2!$A:$A,$A136,Лист2!$B:$B,$B136)</f>
        <v>129</v>
      </c>
      <c r="F136" s="3">
        <f>SUMIFS(Лист2!$D:$D,Лист2!$A:$A,$A136,Лист2!$B:$B,$B136)</f>
        <v>16432</v>
      </c>
      <c r="G136" s="3">
        <f>SUMIFS(Лист2!$E:$E,Лист2!$A:$A,$A136,Лист2!$B:$B,$B136)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>
        <f>SUMIFS(Лист2!$C:$C,Лист2!$A:$A,$A137,Лист2!$B:$B,$B137)</f>
        <v>125</v>
      </c>
      <c r="F137" s="3">
        <f>SUMIFS(Лист2!$D:$D,Лист2!$A:$A,$A137,Лист2!$B:$B,$B137)</f>
        <v>22291</v>
      </c>
      <c r="G137" s="3">
        <f>SUMIFS(Лист2!$E:$E,Лист2!$A:$A,$A137,Лист2!$B:$B,$B137)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>
        <f>SUMIFS(Лист2!$C:$C,Лист2!$A:$A,$A138,Лист2!$B:$B,$B138)</f>
        <v>125</v>
      </c>
      <c r="F138" s="3">
        <f>SUMIFS(Лист2!$D:$D,Лист2!$A:$A,$A138,Лист2!$B:$B,$B138)</f>
        <v>20771</v>
      </c>
      <c r="G138" s="3">
        <f>SUMIFS(Лист2!$E:$E,Лист2!$A:$A,$A138,Лист2!$B:$B,$B138)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>
        <f>SUMIFS(Лист2!$C:$C,Лист2!$A:$A,$A139,Лист2!$B:$B,$B139)</f>
        <v>125</v>
      </c>
      <c r="F139" s="3">
        <f>SUMIFS(Лист2!$D:$D,Лист2!$A:$A,$A139,Лист2!$B:$B,$B139)</f>
        <v>20079</v>
      </c>
      <c r="G139" s="3">
        <f>SUMIFS(Лист2!$E:$E,Лист2!$A:$A,$A139,Лист2!$B:$B,$B139)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>
        <f>SUMIFS(Лист2!$C:$C,Лист2!$A:$A,$A140,Лист2!$B:$B,$B140)</f>
        <v>125</v>
      </c>
      <c r="F140" s="3">
        <f>SUMIFS(Лист2!$D:$D,Лист2!$A:$A,$A140,Лист2!$B:$B,$B140)</f>
        <v>20132</v>
      </c>
      <c r="G140" s="3">
        <f>SUMIFS(Лист2!$E:$E,Лист2!$A:$A,$A140,Лист2!$B:$B,$B140)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>
        <f>SUMIFS(Лист2!$C:$C,Лист2!$A:$A,$A141,Лист2!$B:$B,$B141)</f>
        <v>125</v>
      </c>
      <c r="F141" s="3">
        <f>SUMIFS(Лист2!$D:$D,Лист2!$A:$A,$A141,Лист2!$B:$B,$B141)</f>
        <v>20495</v>
      </c>
      <c r="G141" s="3">
        <f>SUMIFS(Лист2!$E:$E,Лист2!$A:$A,$A141,Лист2!$B:$B,$B141)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>
        <f>SUMIFS(Лист2!$C:$C,Лист2!$A:$A,$A142,Лист2!$B:$B,$B142)</f>
        <v>125</v>
      </c>
      <c r="F142" s="3">
        <f>SUMIFS(Лист2!$D:$D,Лист2!$A:$A,$A142,Лист2!$B:$B,$B142)</f>
        <v>21863</v>
      </c>
      <c r="G142" s="3">
        <f>SUMIFS(Лист2!$E:$E,Лист2!$A:$A,$A142,Лист2!$B:$B,$B142)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>
        <f>SUMIFS(Лист2!$C:$C,Лист2!$A:$A,$A143,Лист2!$B:$B,$B143)</f>
        <v>125</v>
      </c>
      <c r="F143" s="3">
        <f>SUMIFS(Лист2!$D:$D,Лист2!$A:$A,$A143,Лист2!$B:$B,$B143)</f>
        <v>16932</v>
      </c>
      <c r="G143" s="3">
        <f>SUMIFS(Лист2!$E:$E,Лист2!$A:$A,$A143,Лист2!$B:$B,$B143)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>
        <f>SUMIFS(Лист2!$C:$C,Лист2!$A:$A,$A144,Лист2!$B:$B,$B144)</f>
        <v>124</v>
      </c>
      <c r="F144" s="3">
        <f>SUMIFS(Лист2!$D:$D,Лист2!$A:$A,$A144,Лист2!$B:$B,$B144)</f>
        <v>21153</v>
      </c>
      <c r="G144" s="3">
        <f>SUMIFS(Лист2!$E:$E,Лист2!$A:$A,$A144,Лист2!$B:$B,$B144)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>
        <f>SUMIFS(Лист2!$C:$C,Лист2!$A:$A,$A145,Лист2!$B:$B,$B145)</f>
        <v>125</v>
      </c>
      <c r="F145" s="3">
        <f>SUMIFS(Лист2!$D:$D,Лист2!$A:$A,$A145,Лист2!$B:$B,$B145)</f>
        <v>20602</v>
      </c>
      <c r="G145" s="3">
        <f>SUMIFS(Лист2!$E:$E,Лист2!$A:$A,$A145,Лист2!$B:$B,$B145)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>
        <f>SUMIFS(Лист2!$C:$C,Лист2!$A:$A,$A146,Лист2!$B:$B,$B146)</f>
        <v>125</v>
      </c>
      <c r="F146" s="3">
        <f>SUMIFS(Лист2!$D:$D,Лист2!$A:$A,$A146,Лист2!$B:$B,$B146)</f>
        <v>21106</v>
      </c>
      <c r="G146" s="3">
        <f>SUMIFS(Лист2!$E:$E,Лист2!$A:$A,$A146,Лист2!$B:$B,$B146)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>
        <f>SUMIFS(Лист2!$C:$C,Лист2!$A:$A,$A147,Лист2!$B:$B,$B147)</f>
        <v>125</v>
      </c>
      <c r="F147" s="3">
        <f>SUMIFS(Лист2!$D:$D,Лист2!$A:$A,$A147,Лист2!$B:$B,$B147)</f>
        <v>20911</v>
      </c>
      <c r="G147" s="3">
        <f>SUMIFS(Лист2!$E:$E,Лист2!$A:$A,$A147,Лист2!$B:$B,$B147)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>
        <f>SUMIFS(Лист2!$C:$C,Лист2!$A:$A,$A148,Лист2!$B:$B,$B148)</f>
        <v>125</v>
      </c>
      <c r="F148" s="3">
        <f>SUMIFS(Лист2!$D:$D,Лист2!$A:$A,$A148,Лист2!$B:$B,$B148)</f>
        <v>21674</v>
      </c>
      <c r="G148" s="3">
        <f>SUMIFS(Лист2!$E:$E,Лист2!$A:$A,$A148,Лист2!$B:$B,$B148)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>
        <f>SUMIFS(Лист2!$C:$C,Лист2!$A:$A,$A149,Лист2!$B:$B,$B149)</f>
        <v>125</v>
      </c>
      <c r="F149" s="3">
        <f>SUMIFS(Лист2!$D:$D,Лист2!$A:$A,$A149,Лист2!$B:$B,$B149)</f>
        <v>18944</v>
      </c>
      <c r="G149" s="3">
        <f>SUMIFS(Лист2!$E:$E,Лист2!$A:$A,$A149,Лист2!$B:$B,$B149)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>
        <f>SUMIFS(Лист2!$C:$C,Лист2!$A:$A,$A150,Лист2!$B:$B,$B150)</f>
        <v>125</v>
      </c>
      <c r="F150" s="3">
        <f>SUMIFS(Лист2!$D:$D,Лист2!$A:$A,$A150,Лист2!$B:$B,$B150)</f>
        <v>20914</v>
      </c>
      <c r="G150" s="3">
        <f>SUMIFS(Лист2!$E:$E,Лист2!$A:$A,$A150,Лист2!$B:$B,$B150)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>
        <f>SUMIFS(Лист2!$C:$C,Лист2!$A:$A,$A151,Лист2!$B:$B,$B151)</f>
        <v>125</v>
      </c>
      <c r="F151" s="3">
        <f>SUMIFS(Лист2!$D:$D,Лист2!$A:$A,$A151,Лист2!$B:$B,$B151)</f>
        <v>19965</v>
      </c>
      <c r="G151" s="3">
        <f>SUMIFS(Лист2!$E:$E,Лист2!$A:$A,$A151,Лист2!$B:$B,$B151)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>
        <f>SUMIFS(Лист2!$C:$C,Лист2!$A:$A,$A152,Лист2!$B:$B,$B152)</f>
        <v>129</v>
      </c>
      <c r="F152" s="3">
        <f>SUMIFS(Лист2!$D:$D,Лист2!$A:$A,$A152,Лист2!$B:$B,$B152)</f>
        <v>17235</v>
      </c>
      <c r="G152" s="3">
        <f>SUMIFS(Лист2!$E:$E,Лист2!$A:$A,$A152,Лист2!$B:$B,$B152)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>
        <f>SUMIFS(Лист2!$C:$C,Лист2!$A:$A,$A153,Лист2!$B:$B,$B153)</f>
        <v>125</v>
      </c>
      <c r="F153" s="3">
        <f>SUMIFS(Лист2!$D:$D,Лист2!$A:$A,$A153,Лист2!$B:$B,$B153)</f>
        <v>18861</v>
      </c>
      <c r="G153" s="3">
        <f>SUMIFS(Лист2!$E:$E,Лист2!$A:$A,$A153,Лист2!$B:$B,$B153)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>
        <f>SUMIFS(Лист2!$C:$C,Лист2!$A:$A,$A154,Лист2!$B:$B,$B154)</f>
        <v>129</v>
      </c>
      <c r="F154" s="3">
        <f>SUMIFS(Лист2!$D:$D,Лист2!$A:$A,$A154,Лист2!$B:$B,$B154)</f>
        <v>20243</v>
      </c>
      <c r="G154" s="3">
        <f>SUMIFS(Лист2!$E:$E,Лист2!$A:$A,$A154,Лист2!$B:$B,$B154)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>
        <f>SUMIFS(Лист2!$C:$C,Лист2!$A:$A,$A155,Лист2!$B:$B,$B155)</f>
        <v>125</v>
      </c>
      <c r="F155" s="3">
        <f>SUMIFS(Лист2!$D:$D,Лист2!$A:$A,$A155,Лист2!$B:$B,$B155)</f>
        <v>20218</v>
      </c>
      <c r="G155" s="3">
        <f>SUMIFS(Лист2!$E:$E,Лист2!$A:$A,$A155,Лист2!$B:$B,$B155)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>
        <f>SUMIFS(Лист2!$C:$C,Лист2!$A:$A,$A156,Лист2!$B:$B,$B156)</f>
        <v>125</v>
      </c>
      <c r="F156" s="3">
        <f>SUMIFS(Лист2!$D:$D,Лист2!$A:$A,$A156,Лист2!$B:$B,$B156)</f>
        <v>24574</v>
      </c>
      <c r="G156" s="3">
        <f>SUMIFS(Лист2!$E:$E,Лист2!$A:$A,$A156,Лист2!$B:$B,$B156)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>
        <f>SUMIFS(Лист2!$C:$C,Лист2!$A:$A,$A157,Лист2!$B:$B,$B157)</f>
        <v>129</v>
      </c>
      <c r="F157" s="3">
        <f>SUMIFS(Лист2!$D:$D,Лист2!$A:$A,$A157,Лист2!$B:$B,$B157)</f>
        <v>16453</v>
      </c>
      <c r="G157" s="3">
        <f>SUMIFS(Лист2!$E:$E,Лист2!$A:$A,$A157,Лист2!$B:$B,$B157)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>
        <f>SUMIFS(Лист2!$C:$C,Лист2!$A:$A,$A158,Лист2!$B:$B,$B158)</f>
        <v>124</v>
      </c>
      <c r="F158" s="3">
        <f>SUMIFS(Лист2!$D:$D,Лист2!$A:$A,$A158,Лист2!$B:$B,$B158)</f>
        <v>20358</v>
      </c>
      <c r="G158" s="3">
        <f>SUMIFS(Лист2!$E:$E,Лист2!$A:$A,$A158,Лист2!$B:$B,$B158)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>
        <f>SUMIFS(Лист2!$C:$C,Лист2!$A:$A,$A159,Лист2!$B:$B,$B159)</f>
        <v>125</v>
      </c>
      <c r="F159" s="3">
        <f>SUMIFS(Лист2!$D:$D,Лист2!$A:$A,$A159,Лист2!$B:$B,$B159)</f>
        <v>22368</v>
      </c>
      <c r="G159" s="3">
        <f>SUMIFS(Лист2!$E:$E,Лист2!$A:$A,$A159,Лист2!$B:$B,$B159)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>
        <f>SUMIFS(Лист2!$C:$C,Лист2!$A:$A,$A160,Лист2!$B:$B,$B160)</f>
        <v>125</v>
      </c>
      <c r="F160" s="3">
        <f>SUMIFS(Лист2!$D:$D,Лист2!$A:$A,$A160,Лист2!$B:$B,$B160)</f>
        <v>20368</v>
      </c>
      <c r="G160" s="3">
        <f>SUMIFS(Лист2!$E:$E,Лист2!$A:$A,$A160,Лист2!$B:$B,$B160)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>
        <f>SUMIFS(Лист2!$C:$C,Лист2!$A:$A,$A161,Лист2!$B:$B,$B161)</f>
        <v>125</v>
      </c>
      <c r="F161" s="3">
        <f>SUMIFS(Лист2!$D:$D,Лист2!$A:$A,$A161,Лист2!$B:$B,$B161)</f>
        <v>24620</v>
      </c>
      <c r="G161" s="3">
        <f>SUMIFS(Лист2!$E:$E,Лист2!$A:$A,$A161,Лист2!$B:$B,$B161)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>
        <f>SUMIFS(Лист2!$C:$C,Лист2!$A:$A,$A162,Лист2!$B:$B,$B162)</f>
        <v>125</v>
      </c>
      <c r="F162" s="3">
        <f>SUMIFS(Лист2!$D:$D,Лист2!$A:$A,$A162,Лист2!$B:$B,$B162)</f>
        <v>18014</v>
      </c>
      <c r="G162" s="3">
        <f>SUMIFS(Лист2!$E:$E,Лист2!$A:$A,$A162,Лист2!$B:$B,$B162)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>
        <f>SUMIFS(Лист2!$C:$C,Лист2!$A:$A,$A163,Лист2!$B:$B,$B163)</f>
        <v>125</v>
      </c>
      <c r="F163" s="3">
        <f>SUMIFS(Лист2!$D:$D,Лист2!$A:$A,$A163,Лист2!$B:$B,$B163)</f>
        <v>21004</v>
      </c>
      <c r="G163" s="3">
        <f>SUMIFS(Лист2!$E:$E,Лист2!$A:$A,$A163,Лист2!$B:$B,$B163)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>
        <f>SUMIFS(Лист2!$C:$C,Лист2!$A:$A,$A164,Лист2!$B:$B,$B164)</f>
        <v>36</v>
      </c>
      <c r="F164" s="3">
        <f>SUMIFS(Лист2!$D:$D,Лист2!$A:$A,$A164,Лист2!$B:$B,$B164)</f>
        <v>5286</v>
      </c>
      <c r="G164" s="3">
        <f>SUMIFS(Лист2!$E:$E,Лист2!$A:$A,$A164,Лист2!$B:$B,$B164)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>
        <f>SUMIFS(Лист2!$C:$C,Лист2!$A:$A,$A165,Лист2!$B:$B,$B165)</f>
        <v>36</v>
      </c>
      <c r="F165" s="3">
        <f>SUMIFS(Лист2!$D:$D,Лист2!$A:$A,$A165,Лист2!$B:$B,$B165)</f>
        <v>5094</v>
      </c>
      <c r="G165" s="3">
        <f>SUMIFS(Лист2!$E:$E,Лист2!$A:$A,$A165,Лист2!$B:$B,$B165)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>
        <f>SUMIFS(Лист2!$C:$C,Лист2!$A:$A,$A166,Лист2!$B:$B,$B166)</f>
        <v>36</v>
      </c>
      <c r="F166" s="3">
        <f>SUMIFS(Лист2!$D:$D,Лист2!$A:$A,$A166,Лист2!$B:$B,$B166)</f>
        <v>4918</v>
      </c>
      <c r="G166" s="3">
        <f>SUMIFS(Лист2!$E:$E,Лист2!$A:$A,$A166,Лист2!$B:$B,$B166)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>
        <f>SUMIFS(Лист2!$C:$C,Лист2!$A:$A,$A167,Лист2!$B:$B,$B167)</f>
        <v>36</v>
      </c>
      <c r="F167" s="3">
        <f>SUMIFS(Лист2!$D:$D,Лист2!$A:$A,$A167,Лист2!$B:$B,$B167)</f>
        <v>5413</v>
      </c>
      <c r="G167" s="3">
        <f>SUMIFS(Лист2!$E:$E,Лист2!$A:$A,$A167,Лист2!$B:$B,$B167)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>
        <f>SUMIFS(Лист2!$C:$C,Лист2!$A:$A,$A168,Лист2!$B:$B,$B168)</f>
        <v>36</v>
      </c>
      <c r="F168" s="3">
        <f>SUMIFS(Лист2!$D:$D,Лист2!$A:$A,$A168,Лист2!$B:$B,$B168)</f>
        <v>4508</v>
      </c>
      <c r="G168" s="3">
        <f>SUMIFS(Лист2!$E:$E,Лист2!$A:$A,$A168,Лист2!$B:$B,$B168)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>
        <f>SUMIFS(Лист2!$C:$C,Лист2!$A:$A,$A169,Лист2!$B:$B,$B169)</f>
        <v>36</v>
      </c>
      <c r="F169" s="3">
        <f>SUMIFS(Лист2!$D:$D,Лист2!$A:$A,$A169,Лист2!$B:$B,$B169)</f>
        <v>4937</v>
      </c>
      <c r="G169" s="3">
        <f>SUMIFS(Лист2!$E:$E,Лист2!$A:$A,$A169,Лист2!$B:$B,$B169)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>
        <f>SUMIFS(Лист2!$C:$C,Лист2!$A:$A,$A170,Лист2!$B:$B,$B170)</f>
        <v>36</v>
      </c>
      <c r="F170" s="3">
        <f>SUMIFS(Лист2!$D:$D,Лист2!$A:$A,$A170,Лист2!$B:$B,$B170)</f>
        <v>3442</v>
      </c>
      <c r="G170" s="3">
        <f>SUMIFS(Лист2!$E:$E,Лист2!$A:$A,$A170,Лист2!$B:$B,$B170)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>
        <f>SUMIFS(Лист2!$C:$C,Лист2!$A:$A,$A171,Лист2!$B:$B,$B171)</f>
        <v>36</v>
      </c>
      <c r="F171" s="3">
        <f>SUMIFS(Лист2!$D:$D,Лист2!$A:$A,$A171,Лист2!$B:$B,$B171)</f>
        <v>4770</v>
      </c>
      <c r="G171" s="3">
        <f>SUMIFS(Лист2!$E:$E,Лист2!$A:$A,$A171,Лист2!$B:$B,$B171)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>
        <f>SUMIFS(Лист2!$C:$C,Лист2!$A:$A,$A172,Лист2!$B:$B,$B172)</f>
        <v>36</v>
      </c>
      <c r="F172" s="3">
        <f>SUMIFS(Лист2!$D:$D,Лист2!$A:$A,$A172,Лист2!$B:$B,$B172)</f>
        <v>5457</v>
      </c>
      <c r="G172" s="3">
        <f>SUMIFS(Лист2!$E:$E,Лист2!$A:$A,$A172,Лист2!$B:$B,$B172)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>
        <f>SUMIFS(Лист2!$C:$C,Лист2!$A:$A,$A173,Лист2!$B:$B,$B173)</f>
        <v>36</v>
      </c>
      <c r="F173" s="3">
        <f>SUMIFS(Лист2!$D:$D,Лист2!$A:$A,$A173,Лист2!$B:$B,$B173)</f>
        <v>4418</v>
      </c>
      <c r="G173" s="3">
        <f>SUMIFS(Лист2!$E:$E,Лист2!$A:$A,$A173,Лист2!$B:$B,$B173)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>
        <f>SUMIFS(Лист2!$C:$C,Лист2!$A:$A,$A174,Лист2!$B:$B,$B174)</f>
        <v>36</v>
      </c>
      <c r="F174" s="3">
        <f>SUMIFS(Лист2!$D:$D,Лист2!$A:$A,$A174,Лист2!$B:$B,$B174)</f>
        <v>4816</v>
      </c>
      <c r="G174" s="3">
        <f>SUMIFS(Лист2!$E:$E,Лист2!$A:$A,$A174,Лист2!$B:$B,$B174)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>
        <f>SUMIFS(Лист2!$C:$C,Лист2!$A:$A,$A175,Лист2!$B:$B,$B175)</f>
        <v>36</v>
      </c>
      <c r="F175" s="3">
        <f>SUMIFS(Лист2!$D:$D,Лист2!$A:$A,$A175,Лист2!$B:$B,$B175)</f>
        <v>5914</v>
      </c>
      <c r="G175" s="3">
        <f>SUMIFS(Лист2!$E:$E,Лист2!$A:$A,$A175,Лист2!$B:$B,$B175)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>
        <f>SUMIFS(Лист2!$C:$C,Лист2!$A:$A,$A176,Лист2!$B:$B,$B176)</f>
        <v>36</v>
      </c>
      <c r="F176" s="3">
        <f>SUMIFS(Лист2!$D:$D,Лист2!$A:$A,$A176,Лист2!$B:$B,$B176)</f>
        <v>4575</v>
      </c>
      <c r="G176" s="3">
        <f>SUMIFS(Лист2!$E:$E,Лист2!$A:$A,$A176,Лист2!$B:$B,$B176)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>
        <f>SUMIFS(Лист2!$C:$C,Лист2!$A:$A,$A177,Лист2!$B:$B,$B177)</f>
        <v>36</v>
      </c>
      <c r="F177" s="3">
        <f>SUMIFS(Лист2!$D:$D,Лист2!$A:$A,$A177,Лист2!$B:$B,$B177)</f>
        <v>4923</v>
      </c>
      <c r="G177" s="3">
        <f>SUMIFS(Лист2!$E:$E,Лист2!$A:$A,$A177,Лист2!$B:$B,$B177)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>
        <f>SUMIFS(Лист2!$C:$C,Лист2!$A:$A,$A178,Лист2!$B:$B,$B178)</f>
        <v>36</v>
      </c>
      <c r="F178" s="3">
        <f>SUMIFS(Лист2!$D:$D,Лист2!$A:$A,$A178,Лист2!$B:$B,$B178)</f>
        <v>4967</v>
      </c>
      <c r="G178" s="3">
        <f>SUMIFS(Лист2!$E:$E,Лист2!$A:$A,$A178,Лист2!$B:$B,$B178)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>
        <f>SUMIFS(Лист2!$C:$C,Лист2!$A:$A,$A179,Лист2!$B:$B,$B179)</f>
        <v>124</v>
      </c>
      <c r="F179" s="3">
        <f>SUMIFS(Лист2!$D:$D,Лист2!$A:$A,$A179,Лист2!$B:$B,$B179)</f>
        <v>21392</v>
      </c>
      <c r="G179" s="3">
        <f>SUMIFS(Лист2!$E:$E,Лист2!$A:$A,$A179,Лист2!$B:$B,$B179)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>
        <f>SUMIFS(Лист2!$C:$C,Лист2!$A:$A,$A180,Лист2!$B:$B,$B180)</f>
        <v>36</v>
      </c>
      <c r="F180" s="3">
        <f>SUMIFS(Лист2!$D:$D,Лист2!$A:$A,$A180,Лист2!$B:$B,$B180)</f>
        <v>4751</v>
      </c>
      <c r="G180" s="3">
        <f>SUMIFS(Лист2!$E:$E,Лист2!$A:$A,$A180,Лист2!$B:$B,$B180)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>
        <f>SUMIFS(Лист2!$C:$C,Лист2!$A:$A,$A181,Лист2!$B:$B,$B181)</f>
        <v>124</v>
      </c>
      <c r="F181" s="3">
        <f>SUMIFS(Лист2!$D:$D,Лист2!$A:$A,$A181,Лист2!$B:$B,$B181)</f>
        <v>24325</v>
      </c>
      <c r="G181" s="3">
        <f>SUMIFS(Лист2!$E:$E,Лист2!$A:$A,$A181,Лист2!$B:$B,$B181)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>
        <f>SUMIFS(Лист2!$C:$C,Лист2!$A:$A,$A182,Лист2!$B:$B,$B182)</f>
        <v>36</v>
      </c>
      <c r="F182" s="3">
        <f>SUMIFS(Лист2!$D:$D,Лист2!$A:$A,$A182,Лист2!$B:$B,$B182)</f>
        <v>4384</v>
      </c>
      <c r="G182" s="3">
        <f>SUMIFS(Лист2!$E:$E,Лист2!$A:$A,$A182,Лист2!$B:$B,$B182)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>
        <f>SUMIFS(Лист2!$C:$C,Лист2!$A:$A,$A183,Лист2!$B:$B,$B183)</f>
        <v>36</v>
      </c>
      <c r="F183" s="3">
        <f>SUMIFS(Лист2!$D:$D,Лист2!$A:$A,$A183,Лист2!$B:$B,$B183)</f>
        <v>5651</v>
      </c>
      <c r="G183" s="3">
        <f>SUMIFS(Лист2!$E:$E,Лист2!$A:$A,$A183,Лист2!$B:$B,$B183)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>
        <f>SUMIFS(Лист2!$C:$C,Лист2!$A:$A,$A184,Лист2!$B:$B,$B184)</f>
        <v>124</v>
      </c>
      <c r="F184" s="3">
        <f>SUMIFS(Лист2!$D:$D,Лист2!$A:$A,$A184,Лист2!$B:$B,$B184)</f>
        <v>20868</v>
      </c>
      <c r="G184" s="3">
        <f>SUMIFS(Лист2!$E:$E,Лист2!$A:$A,$A184,Лист2!$B:$B,$B184)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>
        <f>SUMIFS(Лист2!$C:$C,Лист2!$A:$A,$A185,Лист2!$B:$B,$B185)</f>
        <v>36</v>
      </c>
      <c r="F185" s="3">
        <f>SUMIFS(Лист2!$D:$D,Лист2!$A:$A,$A185,Лист2!$B:$B,$B185)</f>
        <v>4641</v>
      </c>
      <c r="G185" s="3">
        <f>SUMIFS(Лист2!$E:$E,Лист2!$A:$A,$A185,Лист2!$B:$B,$B185)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>
        <f>SUMIFS(Лист2!$C:$C,Лист2!$A:$A,$A186,Лист2!$B:$B,$B186)</f>
        <v>36</v>
      </c>
      <c r="F186" s="3">
        <f>SUMIFS(Лист2!$D:$D,Лист2!$A:$A,$A186,Лист2!$B:$B,$B186)</f>
        <v>5143</v>
      </c>
      <c r="G186" s="3">
        <f>SUMIFS(Лист2!$E:$E,Лист2!$A:$A,$A186,Лист2!$B:$B,$B186)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>
        <f>SUMIFS(Лист2!$C:$C,Лист2!$A:$A,$A187,Лист2!$B:$B,$B187)</f>
        <v>36</v>
      </c>
      <c r="F187" s="3">
        <f>SUMIFS(Лист2!$D:$D,Лист2!$A:$A,$A187,Лист2!$B:$B,$B187)</f>
        <v>5746</v>
      </c>
      <c r="G187" s="3">
        <f>SUMIFS(Лист2!$E:$E,Лист2!$A:$A,$A187,Лист2!$B:$B,$B187)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>
        <f>SUMIFS(Лист2!$C:$C,Лист2!$A:$A,$A188,Лист2!$B:$B,$B188)</f>
        <v>36</v>
      </c>
      <c r="F188" s="3">
        <f>SUMIFS(Лист2!$D:$D,Лист2!$A:$A,$A188,Лист2!$B:$B,$B188)</f>
        <v>4199</v>
      </c>
      <c r="G188" s="3">
        <f>SUMIFS(Лист2!$E:$E,Лист2!$A:$A,$A188,Лист2!$B:$B,$B188)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>
        <f>SUMIFS(Лист2!$C:$C,Лист2!$A:$A,$A189,Лист2!$B:$B,$B189)</f>
        <v>36</v>
      </c>
      <c r="F189" s="3">
        <f>SUMIFS(Лист2!$D:$D,Лист2!$A:$A,$A189,Лист2!$B:$B,$B189)</f>
        <v>4826</v>
      </c>
      <c r="G189" s="3">
        <f>SUMIFS(Лист2!$E:$E,Лист2!$A:$A,$A189,Лист2!$B:$B,$B189)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>
        <f>SUMIFS(Лист2!$C:$C,Лист2!$A:$A,$A190,Лист2!$B:$B,$B190)</f>
        <v>36</v>
      </c>
      <c r="F190" s="3">
        <f>SUMIFS(Лист2!$D:$D,Лист2!$A:$A,$A190,Лист2!$B:$B,$B190)</f>
        <v>4915</v>
      </c>
      <c r="G190" s="3">
        <f>SUMIFS(Лист2!$E:$E,Лист2!$A:$A,$A190,Лист2!$B:$B,$B190)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>
        <f>SUMIFS(Лист2!$C:$C,Лист2!$A:$A,$A191,Лист2!$B:$B,$B191)</f>
        <v>21</v>
      </c>
      <c r="F191" s="3">
        <f>SUMIFS(Лист2!$D:$D,Лист2!$A:$A,$A191,Лист2!$B:$B,$B191)</f>
        <v>2427</v>
      </c>
      <c r="G191" s="3">
        <f>SUMIFS(Лист2!$E:$E,Лист2!$A:$A,$A191,Лист2!$B:$B,$B191)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>
        <f>SUMIFS(Лист2!$C:$C,Лист2!$A:$A,$A192,Лист2!$B:$B,$B192)</f>
        <v>21</v>
      </c>
      <c r="F192" s="3">
        <f>SUMIFS(Лист2!$D:$D,Лист2!$A:$A,$A192,Лист2!$B:$B,$B192)</f>
        <v>2245</v>
      </c>
      <c r="G192" s="3">
        <f>SUMIFS(Лист2!$E:$E,Лист2!$A:$A,$A192,Лист2!$B:$B,$B192)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>
        <f>SUMIFS(Лист2!$C:$C,Лист2!$A:$A,$A193,Лист2!$B:$B,$B193)</f>
        <v>21</v>
      </c>
      <c r="F193" s="3">
        <f>SUMIFS(Лист2!$D:$D,Лист2!$A:$A,$A193,Лист2!$B:$B,$B193)</f>
        <v>2054</v>
      </c>
      <c r="G193" s="3">
        <f>SUMIFS(Лист2!$E:$E,Лист2!$A:$A,$A193,Лист2!$B:$B,$B193)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>
        <f>SUMIFS(Лист2!$C:$C,Лист2!$A:$A,$A194,Лист2!$B:$B,$B194)</f>
        <v>21</v>
      </c>
      <c r="F194" s="3">
        <f>SUMIFS(Лист2!$D:$D,Лист2!$A:$A,$A194,Лист2!$B:$B,$B194)</f>
        <v>1891</v>
      </c>
      <c r="G194" s="3">
        <f>SUMIFS(Лист2!$E:$E,Лист2!$A:$A,$A194,Лист2!$B:$B,$B194)</f>
        <v>1709</v>
      </c>
      <c r="H194">
        <f t="shared" ref="H194:H257" si="6">IFERROR(D194/E194,0)</f>
        <v>146899.64285714287</v>
      </c>
      <c r="I194">
        <f t="shared" ref="I194:I257" si="7">WEEKNUM(A194,2)</f>
        <v>19</v>
      </c>
    </row>
    <row r="195" spans="1:9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>
        <f>SUMIFS(Лист2!$C:$C,Лист2!$A:$A,$A195,Лист2!$B:$B,$B195)</f>
        <v>20</v>
      </c>
      <c r="F195" s="3">
        <f>SUMIFS(Лист2!$D:$D,Лист2!$A:$A,$A195,Лист2!$B:$B,$B195)</f>
        <v>1804</v>
      </c>
      <c r="G195" s="3">
        <f>SUMIFS(Лист2!$E:$E,Лист2!$A:$A,$A195,Лист2!$B:$B,$B195)</f>
        <v>1638</v>
      </c>
      <c r="H195">
        <f t="shared" si="6"/>
        <v>140892.67499999999</v>
      </c>
      <c r="I195">
        <f t="shared" si="7"/>
        <v>19</v>
      </c>
    </row>
    <row r="196" spans="1:9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>
        <f>SUMIFS(Лист2!$C:$C,Лист2!$A:$A,$A196,Лист2!$B:$B,$B196)</f>
        <v>19</v>
      </c>
      <c r="F196" s="3">
        <f>SUMIFS(Лист2!$D:$D,Лист2!$A:$A,$A196,Лист2!$B:$B,$B196)</f>
        <v>1676</v>
      </c>
      <c r="G196" s="3">
        <f>SUMIFS(Лист2!$E:$E,Лист2!$A:$A,$A196,Лист2!$B:$B,$B196)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>
        <f>SUMIFS(Лист2!$C:$C,Лист2!$A:$A,$A197,Лист2!$B:$B,$B197)</f>
        <v>20</v>
      </c>
      <c r="F197" s="3">
        <f>SUMIFS(Лист2!$D:$D,Лист2!$A:$A,$A197,Лист2!$B:$B,$B197)</f>
        <v>1613</v>
      </c>
      <c r="G197" s="3">
        <f>SUMIFS(Лист2!$E:$E,Лист2!$A:$A,$A197,Лист2!$B:$B,$B197)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>
        <f>SUMIFS(Лист2!$C:$C,Лист2!$A:$A,$A198,Лист2!$B:$B,$B198)</f>
        <v>21</v>
      </c>
      <c r="F198" s="3">
        <f>SUMIFS(Лист2!$D:$D,Лист2!$A:$A,$A198,Лист2!$B:$B,$B198)</f>
        <v>2418</v>
      </c>
      <c r="G198" s="3">
        <f>SUMIFS(Лист2!$E:$E,Лист2!$A:$A,$A198,Лист2!$B:$B,$B198)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>
        <f>SUMIFS(Лист2!$C:$C,Лист2!$A:$A,$A199,Лист2!$B:$B,$B199)</f>
        <v>20</v>
      </c>
      <c r="F199" s="3">
        <f>SUMIFS(Лист2!$D:$D,Лист2!$A:$A,$A199,Лист2!$B:$B,$B199)</f>
        <v>2468</v>
      </c>
      <c r="G199" s="3">
        <f>SUMIFS(Лист2!$E:$E,Лист2!$A:$A,$A199,Лист2!$B:$B,$B199)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>
        <f>SUMIFS(Лист2!$C:$C,Лист2!$A:$A,$A200,Лист2!$B:$B,$B200)</f>
        <v>21</v>
      </c>
      <c r="F200" s="3">
        <f>SUMIFS(Лист2!$D:$D,Лист2!$A:$A,$A200,Лист2!$B:$B,$B200)</f>
        <v>1926</v>
      </c>
      <c r="G200" s="3">
        <f>SUMIFS(Лист2!$E:$E,Лист2!$A:$A,$A200,Лист2!$B:$B,$B200)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>
        <f>SUMIFS(Лист2!$C:$C,Лист2!$A:$A,$A201,Лист2!$B:$B,$B201)</f>
        <v>21</v>
      </c>
      <c r="F201" s="3">
        <f>SUMIFS(Лист2!$D:$D,Лист2!$A:$A,$A201,Лист2!$B:$B,$B201)</f>
        <v>2335</v>
      </c>
      <c r="G201" s="3">
        <f>SUMIFS(Лист2!$E:$E,Лист2!$A:$A,$A201,Лист2!$B:$B,$B201)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>
        <f>SUMIFS(Лист2!$C:$C,Лист2!$A:$A,$A202,Лист2!$B:$B,$B202)</f>
        <v>21</v>
      </c>
      <c r="F202" s="3">
        <f>SUMIFS(Лист2!$D:$D,Лист2!$A:$A,$A202,Лист2!$B:$B,$B202)</f>
        <v>2410</v>
      </c>
      <c r="G202" s="3">
        <f>SUMIFS(Лист2!$E:$E,Лист2!$A:$A,$A202,Лист2!$B:$B,$B202)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>
        <f>SUMIFS(Лист2!$C:$C,Лист2!$A:$A,$A203,Лист2!$B:$B,$B203)</f>
        <v>20</v>
      </c>
      <c r="F203" s="3">
        <f>SUMIFS(Лист2!$D:$D,Лист2!$A:$A,$A203,Лист2!$B:$B,$B203)</f>
        <v>1757</v>
      </c>
      <c r="G203" s="3">
        <f>SUMIFS(Лист2!$E:$E,Лист2!$A:$A,$A203,Лист2!$B:$B,$B203)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>
        <f>SUMIFS(Лист2!$C:$C,Лист2!$A:$A,$A204,Лист2!$B:$B,$B204)</f>
        <v>19</v>
      </c>
      <c r="F204" s="3">
        <f>SUMIFS(Лист2!$D:$D,Лист2!$A:$A,$A204,Лист2!$B:$B,$B204)</f>
        <v>1846</v>
      </c>
      <c r="G204" s="3">
        <f>SUMIFS(Лист2!$E:$E,Лист2!$A:$A,$A204,Лист2!$B:$B,$B204)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>
        <f>SUMIFS(Лист2!$C:$C,Лист2!$A:$A,$A205,Лист2!$B:$B,$B205)</f>
        <v>21</v>
      </c>
      <c r="F205" s="3">
        <f>SUMIFS(Лист2!$D:$D,Лист2!$A:$A,$A205,Лист2!$B:$B,$B205)</f>
        <v>2061</v>
      </c>
      <c r="G205" s="3">
        <f>SUMIFS(Лист2!$E:$E,Лист2!$A:$A,$A205,Лист2!$B:$B,$B205)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>
        <f>SUMIFS(Лист2!$C:$C,Лист2!$A:$A,$A206,Лист2!$B:$B,$B206)</f>
        <v>37</v>
      </c>
      <c r="F206" s="3">
        <f>SUMIFS(Лист2!$D:$D,Лист2!$A:$A,$A206,Лист2!$B:$B,$B206)</f>
        <v>5215</v>
      </c>
      <c r="G206" s="3">
        <f>SUMIFS(Лист2!$E:$E,Лист2!$A:$A,$A206,Лист2!$B:$B,$B206)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>
        <f>SUMIFS(Лист2!$C:$C,Лист2!$A:$A,$A207,Лист2!$B:$B,$B207)</f>
        <v>20</v>
      </c>
      <c r="F207" s="3">
        <f>SUMIFS(Лист2!$D:$D,Лист2!$A:$A,$A207,Лист2!$B:$B,$B207)</f>
        <v>1716</v>
      </c>
      <c r="G207" s="3">
        <f>SUMIFS(Лист2!$E:$E,Лист2!$A:$A,$A207,Лист2!$B:$B,$B207)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>
        <f>SUMIFS(Лист2!$C:$C,Лист2!$A:$A,$A208,Лист2!$B:$B,$B208)</f>
        <v>37</v>
      </c>
      <c r="F208" s="3">
        <f>SUMIFS(Лист2!$D:$D,Лист2!$A:$A,$A208,Лист2!$B:$B,$B208)</f>
        <v>6645</v>
      </c>
      <c r="G208" s="3">
        <f>SUMIFS(Лист2!$E:$E,Лист2!$A:$A,$A208,Лист2!$B:$B,$B208)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>
        <f>SUMIFS(Лист2!$C:$C,Лист2!$A:$A,$A209,Лист2!$B:$B,$B209)</f>
        <v>20</v>
      </c>
      <c r="F209" s="3">
        <f>SUMIFS(Лист2!$D:$D,Лист2!$A:$A,$A209,Лист2!$B:$B,$B209)</f>
        <v>1747</v>
      </c>
      <c r="G209" s="3">
        <f>SUMIFS(Лист2!$E:$E,Лист2!$A:$A,$A209,Лист2!$B:$B,$B209)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>
        <f>SUMIFS(Лист2!$C:$C,Лист2!$A:$A,$A210,Лист2!$B:$B,$B210)</f>
        <v>21</v>
      </c>
      <c r="F210" s="3">
        <f>SUMIFS(Лист2!$D:$D,Лист2!$A:$A,$A210,Лист2!$B:$B,$B210)</f>
        <v>2460</v>
      </c>
      <c r="G210" s="3">
        <f>SUMIFS(Лист2!$E:$E,Лист2!$A:$A,$A210,Лист2!$B:$B,$B210)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>
        <f>SUMIFS(Лист2!$C:$C,Лист2!$A:$A,$A211,Лист2!$B:$B,$B211)</f>
        <v>37</v>
      </c>
      <c r="F211" s="3">
        <f>SUMIFS(Лист2!$D:$D,Лист2!$A:$A,$A211,Лист2!$B:$B,$B211)</f>
        <v>4840</v>
      </c>
      <c r="G211" s="3">
        <f>SUMIFS(Лист2!$E:$E,Лист2!$A:$A,$A211,Лист2!$B:$B,$B211)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>
        <f>SUMIFS(Лист2!$C:$C,Лист2!$A:$A,$A212,Лист2!$B:$B,$B212)</f>
        <v>21</v>
      </c>
      <c r="F212" s="3">
        <f>SUMIFS(Лист2!$D:$D,Лист2!$A:$A,$A212,Лист2!$B:$B,$B212)</f>
        <v>2330</v>
      </c>
      <c r="G212" s="3">
        <f>SUMIFS(Лист2!$E:$E,Лист2!$A:$A,$A212,Лист2!$B:$B,$B212)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>
        <f>SUMIFS(Лист2!$C:$C,Лист2!$A:$A,$A213,Лист2!$B:$B,$B213)</f>
        <v>20</v>
      </c>
      <c r="F213" s="3">
        <f>SUMIFS(Лист2!$D:$D,Лист2!$A:$A,$A213,Лист2!$B:$B,$B213)</f>
        <v>1756</v>
      </c>
      <c r="G213" s="3">
        <f>SUMIFS(Лист2!$E:$E,Лист2!$A:$A,$A213,Лист2!$B:$B,$B213)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>
        <f>SUMIFS(Лист2!$C:$C,Лист2!$A:$A,$A214,Лист2!$B:$B,$B214)</f>
        <v>21</v>
      </c>
      <c r="F214" s="3">
        <f>SUMIFS(Лист2!$D:$D,Лист2!$A:$A,$A214,Лист2!$B:$B,$B214)</f>
        <v>2120</v>
      </c>
      <c r="G214" s="3">
        <f>SUMIFS(Лист2!$E:$E,Лист2!$A:$A,$A214,Лист2!$B:$B,$B214)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>
        <f>SUMIFS(Лист2!$C:$C,Лист2!$A:$A,$A215,Лист2!$B:$B,$B215)</f>
        <v>21</v>
      </c>
      <c r="F215" s="3">
        <f>SUMIFS(Лист2!$D:$D,Лист2!$A:$A,$A215,Лист2!$B:$B,$B215)</f>
        <v>1957</v>
      </c>
      <c r="G215" s="3">
        <f>SUMIFS(Лист2!$E:$E,Лист2!$A:$A,$A215,Лист2!$B:$B,$B215)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>
        <f>SUMIFS(Лист2!$C:$C,Лист2!$A:$A,$A216,Лист2!$B:$B,$B216)</f>
        <v>21</v>
      </c>
      <c r="F216" s="3">
        <f>SUMIFS(Лист2!$D:$D,Лист2!$A:$A,$A216,Лист2!$B:$B,$B216)</f>
        <v>1879</v>
      </c>
      <c r="G216" s="3">
        <f>SUMIFS(Лист2!$E:$E,Лист2!$A:$A,$A216,Лист2!$B:$B,$B216)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>
        <f>SUMIFS(Лист2!$C:$C,Лист2!$A:$A,$A217,Лист2!$B:$B,$B217)</f>
        <v>21</v>
      </c>
      <c r="F217" s="3">
        <f>SUMIFS(Лист2!$D:$D,Лист2!$A:$A,$A217,Лист2!$B:$B,$B217)</f>
        <v>2254</v>
      </c>
      <c r="G217" s="3">
        <f>SUMIFS(Лист2!$E:$E,Лист2!$A:$A,$A217,Лист2!$B:$B,$B217)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>
        <f>SUMIFS(Лист2!$C:$C,Лист2!$A:$A,$A218,Лист2!$B:$B,$B218)</f>
        <v>23</v>
      </c>
      <c r="F218" s="3">
        <f>SUMIFS(Лист2!$D:$D,Лист2!$A:$A,$A218,Лист2!$B:$B,$B218)</f>
        <v>2522</v>
      </c>
      <c r="G218" s="3">
        <f>SUMIFS(Лист2!$E:$E,Лист2!$A:$A,$A218,Лист2!$B:$B,$B218)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>
        <f>SUMIFS(Лист2!$C:$C,Лист2!$A:$A,$A219,Лист2!$B:$B,$B219)</f>
        <v>22</v>
      </c>
      <c r="F219" s="3">
        <f>SUMIFS(Лист2!$D:$D,Лист2!$A:$A,$A219,Лист2!$B:$B,$B219)</f>
        <v>2793</v>
      </c>
      <c r="G219" s="3">
        <f>SUMIFS(Лист2!$E:$E,Лист2!$A:$A,$A219,Лист2!$B:$B,$B219)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>
        <f>SUMIFS(Лист2!$C:$C,Лист2!$A:$A,$A220,Лист2!$B:$B,$B220)</f>
        <v>22</v>
      </c>
      <c r="F220" s="3">
        <f>SUMIFS(Лист2!$D:$D,Лист2!$A:$A,$A220,Лист2!$B:$B,$B220)</f>
        <v>2454</v>
      </c>
      <c r="G220" s="3">
        <f>SUMIFS(Лист2!$E:$E,Лист2!$A:$A,$A220,Лист2!$B:$B,$B220)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>
        <f>SUMIFS(Лист2!$C:$C,Лист2!$A:$A,$A221,Лист2!$B:$B,$B221)</f>
        <v>15</v>
      </c>
      <c r="F221" s="3">
        <f>SUMIFS(Лист2!$D:$D,Лист2!$A:$A,$A221,Лист2!$B:$B,$B221)</f>
        <v>1111</v>
      </c>
      <c r="G221" s="3">
        <f>SUMIFS(Лист2!$E:$E,Лист2!$A:$A,$A221,Лист2!$B:$B,$B221)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>
        <f>SUMIFS(Лист2!$C:$C,Лист2!$A:$A,$A222,Лист2!$B:$B,$B222)</f>
        <v>16</v>
      </c>
      <c r="F222" s="3">
        <f>SUMIFS(Лист2!$D:$D,Лист2!$A:$A,$A222,Лист2!$B:$B,$B222)</f>
        <v>1012</v>
      </c>
      <c r="G222" s="3">
        <f>SUMIFS(Лист2!$E:$E,Лист2!$A:$A,$A222,Лист2!$B:$B,$B222)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>
        <f>SUMIFS(Лист2!$C:$C,Лист2!$A:$A,$A223,Лист2!$B:$B,$B223)</f>
        <v>15</v>
      </c>
      <c r="F223" s="3">
        <f>SUMIFS(Лист2!$D:$D,Лист2!$A:$A,$A223,Лист2!$B:$B,$B223)</f>
        <v>971</v>
      </c>
      <c r="G223" s="3">
        <f>SUMIFS(Лист2!$E:$E,Лист2!$A:$A,$A223,Лист2!$B:$B,$B223)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>
        <f>SUMIFS(Лист2!$C:$C,Лист2!$A:$A,$A224,Лист2!$B:$B,$B224)</f>
        <v>15</v>
      </c>
      <c r="F224" s="3">
        <f>SUMIFS(Лист2!$D:$D,Лист2!$A:$A,$A224,Лист2!$B:$B,$B224)</f>
        <v>849</v>
      </c>
      <c r="G224" s="3">
        <f>SUMIFS(Лист2!$E:$E,Лист2!$A:$A,$A224,Лист2!$B:$B,$B224)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>
        <f>SUMIFS(Лист2!$C:$C,Лист2!$A:$A,$A225,Лист2!$B:$B,$B225)</f>
        <v>15</v>
      </c>
      <c r="F225" s="3">
        <f>SUMIFS(Лист2!$D:$D,Лист2!$A:$A,$A225,Лист2!$B:$B,$B225)</f>
        <v>750</v>
      </c>
      <c r="G225" s="3">
        <f>SUMIFS(Лист2!$E:$E,Лист2!$A:$A,$A225,Лист2!$B:$B,$B225)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>
        <f>SUMIFS(Лист2!$C:$C,Лист2!$A:$A,$A226,Лист2!$B:$B,$B226)</f>
        <v>15</v>
      </c>
      <c r="F226" s="3">
        <f>SUMIFS(Лист2!$D:$D,Лист2!$A:$A,$A226,Лист2!$B:$B,$B226)</f>
        <v>786</v>
      </c>
      <c r="G226" s="3">
        <f>SUMIFS(Лист2!$E:$E,Лист2!$A:$A,$A226,Лист2!$B:$B,$B226)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>
        <f>SUMIFS(Лист2!$C:$C,Лист2!$A:$A,$A227,Лист2!$B:$B,$B227)</f>
        <v>15</v>
      </c>
      <c r="F227" s="3">
        <f>SUMIFS(Лист2!$D:$D,Лист2!$A:$A,$A227,Лист2!$B:$B,$B227)</f>
        <v>751</v>
      </c>
      <c r="G227" s="3">
        <f>SUMIFS(Лист2!$E:$E,Лист2!$A:$A,$A227,Лист2!$B:$B,$B227)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>
        <f>SUMIFS(Лист2!$C:$C,Лист2!$A:$A,$A228,Лист2!$B:$B,$B228)</f>
        <v>17</v>
      </c>
      <c r="F228" s="3">
        <f>SUMIFS(Лист2!$D:$D,Лист2!$A:$A,$A228,Лист2!$B:$B,$B228)</f>
        <v>1140</v>
      </c>
      <c r="G228" s="3">
        <f>SUMIFS(Лист2!$E:$E,Лист2!$A:$A,$A228,Лист2!$B:$B,$B228)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>
        <f>SUMIFS(Лист2!$C:$C,Лист2!$A:$A,$A229,Лист2!$B:$B,$B229)</f>
        <v>15</v>
      </c>
      <c r="F229" s="3">
        <f>SUMIFS(Лист2!$D:$D,Лист2!$A:$A,$A229,Лист2!$B:$B,$B229)</f>
        <v>996</v>
      </c>
      <c r="G229" s="3">
        <f>SUMIFS(Лист2!$E:$E,Лист2!$A:$A,$A229,Лист2!$B:$B,$B229)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>
        <f>SUMIFS(Лист2!$C:$C,Лист2!$A:$A,$A230,Лист2!$B:$B,$B230)</f>
        <v>15</v>
      </c>
      <c r="F230" s="3">
        <f>SUMIFS(Лист2!$D:$D,Лист2!$A:$A,$A230,Лист2!$B:$B,$B230)</f>
        <v>845</v>
      </c>
      <c r="G230" s="3">
        <f>SUMIFS(Лист2!$E:$E,Лист2!$A:$A,$A230,Лист2!$B:$B,$B230)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>
        <f>SUMIFS(Лист2!$C:$C,Лист2!$A:$A,$A231,Лист2!$B:$B,$B231)</f>
        <v>17</v>
      </c>
      <c r="F231" s="3">
        <f>SUMIFS(Лист2!$D:$D,Лист2!$A:$A,$A231,Лист2!$B:$B,$B231)</f>
        <v>1045</v>
      </c>
      <c r="G231" s="3">
        <f>SUMIFS(Лист2!$E:$E,Лист2!$A:$A,$A231,Лист2!$B:$B,$B231)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>
        <f>SUMIFS(Лист2!$C:$C,Лист2!$A:$A,$A232,Лист2!$B:$B,$B232)</f>
        <v>16</v>
      </c>
      <c r="F232" s="3">
        <f>SUMIFS(Лист2!$D:$D,Лист2!$A:$A,$A232,Лист2!$B:$B,$B232)</f>
        <v>1050</v>
      </c>
      <c r="G232" s="3">
        <f>SUMIFS(Лист2!$E:$E,Лист2!$A:$A,$A232,Лист2!$B:$B,$B232)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>
        <f>SUMIFS(Лист2!$C:$C,Лист2!$A:$A,$A233,Лист2!$B:$B,$B233)</f>
        <v>15</v>
      </c>
      <c r="F233" s="3">
        <f>SUMIFS(Лист2!$D:$D,Лист2!$A:$A,$A233,Лист2!$B:$B,$B233)</f>
        <v>922</v>
      </c>
      <c r="G233" s="3">
        <f>SUMIFS(Лист2!$E:$E,Лист2!$A:$A,$A233,Лист2!$B:$B,$B233)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>
        <f>SUMIFS(Лист2!$C:$C,Лист2!$A:$A,$A234,Лист2!$B:$B,$B234)</f>
        <v>15</v>
      </c>
      <c r="F234" s="3">
        <f>SUMIFS(Лист2!$D:$D,Лист2!$A:$A,$A234,Лист2!$B:$B,$B234)</f>
        <v>780</v>
      </c>
      <c r="G234" s="3">
        <f>SUMIFS(Лист2!$E:$E,Лист2!$A:$A,$A234,Лист2!$B:$B,$B234)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>
        <f>SUMIFS(Лист2!$C:$C,Лист2!$A:$A,$A235,Лист2!$B:$B,$B235)</f>
        <v>15</v>
      </c>
      <c r="F235" s="3">
        <f>SUMIFS(Лист2!$D:$D,Лист2!$A:$A,$A235,Лист2!$B:$B,$B235)</f>
        <v>898</v>
      </c>
      <c r="G235" s="3">
        <f>SUMIFS(Лист2!$E:$E,Лист2!$A:$A,$A235,Лист2!$B:$B,$B235)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>
        <f>SUMIFS(Лист2!$C:$C,Лист2!$A:$A,$A236,Лист2!$B:$B,$B236)</f>
        <v>15</v>
      </c>
      <c r="F236" s="3">
        <f>SUMIFS(Лист2!$D:$D,Лист2!$A:$A,$A236,Лист2!$B:$B,$B236)</f>
        <v>784</v>
      </c>
      <c r="G236" s="3">
        <f>SUMIFS(Лист2!$E:$E,Лист2!$A:$A,$A236,Лист2!$B:$B,$B236)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>
        <f>SUMIFS(Лист2!$C:$C,Лист2!$A:$A,$A237,Лист2!$B:$B,$B237)</f>
        <v>15</v>
      </c>
      <c r="F237" s="3">
        <f>SUMIFS(Лист2!$D:$D,Лист2!$A:$A,$A237,Лист2!$B:$B,$B237)</f>
        <v>839</v>
      </c>
      <c r="G237" s="3">
        <f>SUMIFS(Лист2!$E:$E,Лист2!$A:$A,$A237,Лист2!$B:$B,$B237)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>
        <f>SUMIFS(Лист2!$C:$C,Лист2!$A:$A,$A238,Лист2!$B:$B,$B238)</f>
        <v>17</v>
      </c>
      <c r="F238" s="3">
        <f>SUMIFS(Лист2!$D:$D,Лист2!$A:$A,$A238,Лист2!$B:$B,$B238)</f>
        <v>1294</v>
      </c>
      <c r="G238" s="3">
        <f>SUMIFS(Лист2!$E:$E,Лист2!$A:$A,$A238,Лист2!$B:$B,$B238)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>
        <f>SUMIFS(Лист2!$C:$C,Лист2!$A:$A,$A239,Лист2!$B:$B,$B239)</f>
        <v>17</v>
      </c>
      <c r="F239" s="3">
        <f>SUMIFS(Лист2!$D:$D,Лист2!$A:$A,$A239,Лист2!$B:$B,$B239)</f>
        <v>1142</v>
      </c>
      <c r="G239" s="3">
        <f>SUMIFS(Лист2!$E:$E,Лист2!$A:$A,$A239,Лист2!$B:$B,$B239)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>
        <f>SUMIFS(Лист2!$C:$C,Лист2!$A:$A,$A240,Лист2!$B:$B,$B240)</f>
        <v>15</v>
      </c>
      <c r="F240" s="3">
        <f>SUMIFS(Лист2!$D:$D,Лист2!$A:$A,$A240,Лист2!$B:$B,$B240)</f>
        <v>791</v>
      </c>
      <c r="G240" s="3">
        <f>SUMIFS(Лист2!$E:$E,Лист2!$A:$A,$A240,Лист2!$B:$B,$B240)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>
        <f>SUMIFS(Лист2!$C:$C,Лист2!$A:$A,$A241,Лист2!$B:$B,$B241)</f>
        <v>15</v>
      </c>
      <c r="F241" s="3">
        <f>SUMIFS(Лист2!$D:$D,Лист2!$A:$A,$A241,Лист2!$B:$B,$B241)</f>
        <v>950</v>
      </c>
      <c r="G241" s="3">
        <f>SUMIFS(Лист2!$E:$E,Лист2!$A:$A,$A241,Лист2!$B:$B,$B241)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>
        <f>SUMIFS(Лист2!$C:$C,Лист2!$A:$A,$A242,Лист2!$B:$B,$B242)</f>
        <v>15</v>
      </c>
      <c r="F242" s="3">
        <f>SUMIFS(Лист2!$D:$D,Лист2!$A:$A,$A242,Лист2!$B:$B,$B242)</f>
        <v>879</v>
      </c>
      <c r="G242" s="3">
        <f>SUMIFS(Лист2!$E:$E,Лист2!$A:$A,$A242,Лист2!$B:$B,$B242)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>
        <f>SUMIFS(Лист2!$C:$C,Лист2!$A:$A,$A243,Лист2!$B:$B,$B243)</f>
        <v>15</v>
      </c>
      <c r="F243" s="3">
        <f>SUMIFS(Лист2!$D:$D,Лист2!$A:$A,$A243,Лист2!$B:$B,$B243)</f>
        <v>805</v>
      </c>
      <c r="G243" s="3">
        <f>SUMIFS(Лист2!$E:$E,Лист2!$A:$A,$A243,Лист2!$B:$B,$B243)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>
        <f>SUMIFS(Лист2!$C:$C,Лист2!$A:$A,$A244,Лист2!$B:$B,$B244)</f>
        <v>17</v>
      </c>
      <c r="F244" s="3">
        <f>SUMIFS(Лист2!$D:$D,Лист2!$A:$A,$A244,Лист2!$B:$B,$B244)</f>
        <v>1128</v>
      </c>
      <c r="G244" s="3">
        <f>SUMIFS(Лист2!$E:$E,Лист2!$A:$A,$A244,Лист2!$B:$B,$B244)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>
        <f>SUMIFS(Лист2!$C:$C,Лист2!$A:$A,$A245,Лист2!$B:$B,$B245)</f>
        <v>15</v>
      </c>
      <c r="F245" s="3">
        <f>SUMIFS(Лист2!$D:$D,Лист2!$A:$A,$A245,Лист2!$B:$B,$B245)</f>
        <v>747</v>
      </c>
      <c r="G245" s="3">
        <f>SUMIFS(Лист2!$E:$E,Лист2!$A:$A,$A245,Лист2!$B:$B,$B245)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>
        <f>SUMIFS(Лист2!$C:$C,Лист2!$A:$A,$A246,Лист2!$B:$B,$B246)</f>
        <v>15</v>
      </c>
      <c r="F246" s="3">
        <f>SUMIFS(Лист2!$D:$D,Лист2!$A:$A,$A246,Лист2!$B:$B,$B246)</f>
        <v>930</v>
      </c>
      <c r="G246" s="3">
        <f>SUMIFS(Лист2!$E:$E,Лист2!$A:$A,$A246,Лист2!$B:$B,$B246)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>
        <f>SUMIFS(Лист2!$C:$C,Лист2!$A:$A,$A247,Лист2!$B:$B,$B247)</f>
        <v>15</v>
      </c>
      <c r="F247" s="3">
        <f>SUMIFS(Лист2!$D:$D,Лист2!$A:$A,$A247,Лист2!$B:$B,$B247)</f>
        <v>692</v>
      </c>
      <c r="G247" s="3">
        <f>SUMIFS(Лист2!$E:$E,Лист2!$A:$A,$A247,Лист2!$B:$B,$B247)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>
        <f>SUMIFS(Лист2!$C:$C,Лист2!$A:$A,$A248,Лист2!$B:$B,$B248)</f>
        <v>15</v>
      </c>
      <c r="F248" s="3">
        <f>SUMIFS(Лист2!$D:$D,Лист2!$A:$A,$A248,Лист2!$B:$B,$B248)</f>
        <v>623</v>
      </c>
      <c r="G248" s="3">
        <f>SUMIFS(Лист2!$E:$E,Лист2!$A:$A,$A248,Лист2!$B:$B,$B248)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>
        <f>SUMIFS(Лист2!$C:$C,Лист2!$A:$A,$A249,Лист2!$B:$B,$B249)</f>
        <v>15</v>
      </c>
      <c r="F249" s="3">
        <f>SUMIFS(Лист2!$D:$D,Лист2!$A:$A,$A249,Лист2!$B:$B,$B249)</f>
        <v>390</v>
      </c>
      <c r="G249" s="3">
        <f>SUMIFS(Лист2!$E:$E,Лист2!$A:$A,$A249,Лист2!$B:$B,$B249)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>
        <f>SUMIFS(Лист2!$C:$C,Лист2!$A:$A,$A250,Лист2!$B:$B,$B250)</f>
        <v>18</v>
      </c>
      <c r="F250" s="3">
        <f>SUMIFS(Лист2!$D:$D,Лист2!$A:$A,$A250,Лист2!$B:$B,$B250)</f>
        <v>1599</v>
      </c>
      <c r="G250" s="3">
        <f>SUMIFS(Лист2!$E:$E,Лист2!$A:$A,$A250,Лист2!$B:$B,$B250)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>
        <f>SUMIFS(Лист2!$C:$C,Лист2!$A:$A,$A251,Лист2!$B:$B,$B251)</f>
        <v>15</v>
      </c>
      <c r="F251" s="3">
        <f>SUMIFS(Лист2!$D:$D,Лист2!$A:$A,$A251,Лист2!$B:$B,$B251)</f>
        <v>274</v>
      </c>
      <c r="G251" s="3">
        <f>SUMIFS(Лист2!$E:$E,Лист2!$A:$A,$A251,Лист2!$B:$B,$B251)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>
        <f>SUMIFS(Лист2!$C:$C,Лист2!$A:$A,$A252,Лист2!$B:$B,$B252)</f>
        <v>15</v>
      </c>
      <c r="F252" s="3">
        <f>SUMIFS(Лист2!$D:$D,Лист2!$A:$A,$A252,Лист2!$B:$B,$B252)</f>
        <v>812</v>
      </c>
      <c r="G252" s="3">
        <f>SUMIFS(Лист2!$E:$E,Лист2!$A:$A,$A252,Лист2!$B:$B,$B252)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>
        <f>SUMIFS(Лист2!$C:$C,Лист2!$A:$A,$A253,Лист2!$B:$B,$B253)</f>
        <v>15</v>
      </c>
      <c r="F253" s="3">
        <f>SUMIFS(Лист2!$D:$D,Лист2!$A:$A,$A253,Лист2!$B:$B,$B253)</f>
        <v>294</v>
      </c>
      <c r="G253" s="3">
        <f>SUMIFS(Лист2!$E:$E,Лист2!$A:$A,$A253,Лист2!$B:$B,$B253)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>
        <f>SUMIFS(Лист2!$C:$C,Лист2!$A:$A,$A254,Лист2!$B:$B,$B254)</f>
        <v>15</v>
      </c>
      <c r="F254" s="3">
        <f>SUMIFS(Лист2!$D:$D,Лист2!$A:$A,$A254,Лист2!$B:$B,$B254)</f>
        <v>624</v>
      </c>
      <c r="G254" s="3">
        <f>SUMIFS(Лист2!$E:$E,Лист2!$A:$A,$A254,Лист2!$B:$B,$B254)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>
        <f>SUMIFS(Лист2!$C:$C,Лист2!$A:$A,$A255,Лист2!$B:$B,$B255)</f>
        <v>15</v>
      </c>
      <c r="F255" s="3">
        <f>SUMIFS(Лист2!$D:$D,Лист2!$A:$A,$A255,Лист2!$B:$B,$B255)</f>
        <v>749</v>
      </c>
      <c r="G255" s="3">
        <f>SUMIFS(Лист2!$E:$E,Лист2!$A:$A,$A255,Лист2!$B:$B,$B255)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>
        <f>SUMIFS(Лист2!$C:$C,Лист2!$A:$A,$A256,Лист2!$B:$B,$B256)</f>
        <v>15</v>
      </c>
      <c r="F256" s="3">
        <f>SUMIFS(Лист2!$D:$D,Лист2!$A:$A,$A256,Лист2!$B:$B,$B256)</f>
        <v>760</v>
      </c>
      <c r="G256" s="3">
        <f>SUMIFS(Лист2!$E:$E,Лист2!$A:$A,$A256,Лист2!$B:$B,$B256)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>
        <f>SUMIFS(Лист2!$C:$C,Лист2!$A:$A,$A257,Лист2!$B:$B,$B257)</f>
        <v>15</v>
      </c>
      <c r="F257" s="3">
        <f>SUMIFS(Лист2!$D:$D,Лист2!$A:$A,$A257,Лист2!$B:$B,$B257)</f>
        <v>455</v>
      </c>
      <c r="G257" s="3">
        <f>SUMIFS(Лист2!$E:$E,Лист2!$A:$A,$A257,Лист2!$B:$B,$B257)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>
        <f>SUMIFS(Лист2!$C:$C,Лист2!$A:$A,$A258,Лист2!$B:$B,$B258)</f>
        <v>18</v>
      </c>
      <c r="F258" s="3">
        <f>SUMIFS(Лист2!$D:$D,Лист2!$A:$A,$A258,Лист2!$B:$B,$B258)</f>
        <v>1505</v>
      </c>
      <c r="G258" s="3">
        <f>SUMIFS(Лист2!$E:$E,Лист2!$A:$A,$A258,Лист2!$B:$B,$B258)</f>
        <v>1368</v>
      </c>
      <c r="H258">
        <f t="shared" ref="H258:H321" si="8">IFERROR(D258/E258,0)</f>
        <v>126504</v>
      </c>
      <c r="I258">
        <f t="shared" ref="I258:I321" si="9">WEEKNUM(A258,2)</f>
        <v>18</v>
      </c>
    </row>
    <row r="259" spans="1:9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>
        <f>SUMIFS(Лист2!$C:$C,Лист2!$A:$A,$A259,Лист2!$B:$B,$B259)</f>
        <v>15</v>
      </c>
      <c r="F259" s="3">
        <f>SUMIFS(Лист2!$D:$D,Лист2!$A:$A,$A259,Лист2!$B:$B,$B259)</f>
        <v>599</v>
      </c>
      <c r="G259" s="3">
        <f>SUMIFS(Лист2!$E:$E,Лист2!$A:$A,$A259,Лист2!$B:$B,$B259)</f>
        <v>515</v>
      </c>
      <c r="H259">
        <f t="shared" si="8"/>
        <v>63327.5</v>
      </c>
      <c r="I259">
        <f t="shared" si="9"/>
        <v>20</v>
      </c>
    </row>
    <row r="260" spans="1:9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>
        <f>SUMIFS(Лист2!$C:$C,Лист2!$A:$A,$A260,Лист2!$B:$B,$B260)</f>
        <v>17</v>
      </c>
      <c r="F260" s="3">
        <f>SUMIFS(Лист2!$D:$D,Лист2!$A:$A,$A260,Лист2!$B:$B,$B260)</f>
        <v>1186</v>
      </c>
      <c r="G260" s="3">
        <f>SUMIFS(Лист2!$E:$E,Лист2!$A:$A,$A260,Лист2!$B:$B,$B260)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>
        <f>SUMIFS(Лист2!$C:$C,Лист2!$A:$A,$A261,Лист2!$B:$B,$B261)</f>
        <v>15</v>
      </c>
      <c r="F261" s="3">
        <f>SUMIFS(Лист2!$D:$D,Лист2!$A:$A,$A261,Лист2!$B:$B,$B261)</f>
        <v>455</v>
      </c>
      <c r="G261" s="3">
        <f>SUMIFS(Лист2!$E:$E,Лист2!$A:$A,$A261,Лист2!$B:$B,$B261)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>
        <f>SUMIFS(Лист2!$C:$C,Лист2!$A:$A,$A262,Лист2!$B:$B,$B262)</f>
        <v>17</v>
      </c>
      <c r="F262" s="3">
        <f>SUMIFS(Лист2!$D:$D,Лист2!$A:$A,$A262,Лист2!$B:$B,$B262)</f>
        <v>1697</v>
      </c>
      <c r="G262" s="3">
        <f>SUMIFS(Лист2!$E:$E,Лист2!$A:$A,$A262,Лист2!$B:$B,$B262)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>
        <f>SUMIFS(Лист2!$C:$C,Лист2!$A:$A,$A263,Лист2!$B:$B,$B263)</f>
        <v>15</v>
      </c>
      <c r="F263" s="3">
        <f>SUMIFS(Лист2!$D:$D,Лист2!$A:$A,$A263,Лист2!$B:$B,$B263)</f>
        <v>467</v>
      </c>
      <c r="G263" s="3">
        <f>SUMIFS(Лист2!$E:$E,Лист2!$A:$A,$A263,Лист2!$B:$B,$B263)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>
        <f>SUMIFS(Лист2!$C:$C,Лист2!$A:$A,$A264,Лист2!$B:$B,$B264)</f>
        <v>15</v>
      </c>
      <c r="F264" s="3">
        <f>SUMIFS(Лист2!$D:$D,Лист2!$A:$A,$A264,Лист2!$B:$B,$B264)</f>
        <v>840</v>
      </c>
      <c r="G264" s="3">
        <f>SUMIFS(Лист2!$E:$E,Лист2!$A:$A,$A264,Лист2!$B:$B,$B264)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>
        <f>SUMIFS(Лист2!$C:$C,Лист2!$A:$A,$A265,Лист2!$B:$B,$B265)</f>
        <v>17</v>
      </c>
      <c r="F265" s="3">
        <f>SUMIFS(Лист2!$D:$D,Лист2!$A:$A,$A265,Лист2!$B:$B,$B265)</f>
        <v>1097</v>
      </c>
      <c r="G265" s="3">
        <f>SUMIFS(Лист2!$E:$E,Лист2!$A:$A,$A265,Лист2!$B:$B,$B265)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>
        <f>SUMIFS(Лист2!$C:$C,Лист2!$A:$A,$A266,Лист2!$B:$B,$B266)</f>
        <v>15</v>
      </c>
      <c r="F266" s="3">
        <f>SUMIFS(Лист2!$D:$D,Лист2!$A:$A,$A266,Лист2!$B:$B,$B266)</f>
        <v>835</v>
      </c>
      <c r="G266" s="3">
        <f>SUMIFS(Лист2!$E:$E,Лист2!$A:$A,$A266,Лист2!$B:$B,$B266)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>
        <f>SUMIFS(Лист2!$C:$C,Лист2!$A:$A,$A267,Лист2!$B:$B,$B267)</f>
        <v>15</v>
      </c>
      <c r="F267" s="3">
        <f>SUMIFS(Лист2!$D:$D,Лист2!$A:$A,$A267,Лист2!$B:$B,$B267)</f>
        <v>262</v>
      </c>
      <c r="G267" s="3">
        <f>SUMIFS(Лист2!$E:$E,Лист2!$A:$A,$A267,Лист2!$B:$B,$B267)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>
        <f>SUMIFS(Лист2!$C:$C,Лист2!$A:$A,$A268,Лист2!$B:$B,$B268)</f>
        <v>15</v>
      </c>
      <c r="F268" s="3">
        <f>SUMIFS(Лист2!$D:$D,Лист2!$A:$A,$A268,Лист2!$B:$B,$B268)</f>
        <v>706</v>
      </c>
      <c r="G268" s="3">
        <f>SUMIFS(Лист2!$E:$E,Лист2!$A:$A,$A268,Лист2!$B:$B,$B268)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>
        <f>SUMIFS(Лист2!$C:$C,Лист2!$A:$A,$A269,Лист2!$B:$B,$B269)</f>
        <v>15</v>
      </c>
      <c r="F269" s="3">
        <f>SUMIFS(Лист2!$D:$D,Лист2!$A:$A,$A269,Лист2!$B:$B,$B269)</f>
        <v>492</v>
      </c>
      <c r="G269" s="3">
        <f>SUMIFS(Лист2!$E:$E,Лист2!$A:$A,$A269,Лист2!$B:$B,$B269)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>
        <f>SUMIFS(Лист2!$C:$C,Лист2!$A:$A,$A270,Лист2!$B:$B,$B270)</f>
        <v>15</v>
      </c>
      <c r="F270" s="3">
        <f>SUMIFS(Лист2!$D:$D,Лист2!$A:$A,$A270,Лист2!$B:$B,$B270)</f>
        <v>480</v>
      </c>
      <c r="G270" s="3">
        <f>SUMIFS(Лист2!$E:$E,Лист2!$A:$A,$A270,Лист2!$B:$B,$B270)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>
        <f>SUMIFS(Лист2!$C:$C,Лист2!$A:$A,$A271,Лист2!$B:$B,$B271)</f>
        <v>15</v>
      </c>
      <c r="F271" s="3">
        <f>SUMIFS(Лист2!$D:$D,Лист2!$A:$A,$A271,Лист2!$B:$B,$B271)</f>
        <v>779</v>
      </c>
      <c r="G271" s="3">
        <f>SUMIFS(Лист2!$E:$E,Лист2!$A:$A,$A271,Лист2!$B:$B,$B271)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>
        <f>SUMIFS(Лист2!$C:$C,Лист2!$A:$A,$A272,Лист2!$B:$B,$B272)</f>
        <v>19</v>
      </c>
      <c r="F272" s="3">
        <f>SUMIFS(Лист2!$D:$D,Лист2!$A:$A,$A272,Лист2!$B:$B,$B272)</f>
        <v>2039</v>
      </c>
      <c r="G272" s="3">
        <f>SUMIFS(Лист2!$E:$E,Лист2!$A:$A,$A272,Лист2!$B:$B,$B272)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>
        <f>SUMIFS(Лист2!$C:$C,Лист2!$A:$A,$A273,Лист2!$B:$B,$B273)</f>
        <v>19</v>
      </c>
      <c r="F273" s="3">
        <f>SUMIFS(Лист2!$D:$D,Лист2!$A:$A,$A273,Лист2!$B:$B,$B273)</f>
        <v>1831</v>
      </c>
      <c r="G273" s="3">
        <f>SUMIFS(Лист2!$E:$E,Лист2!$A:$A,$A273,Лист2!$B:$B,$B273)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>
        <f>SUMIFS(Лист2!$C:$C,Лист2!$A:$A,$A274,Лист2!$B:$B,$B274)</f>
        <v>19</v>
      </c>
      <c r="F274" s="3">
        <f>SUMIFS(Лист2!$D:$D,Лист2!$A:$A,$A274,Лист2!$B:$B,$B274)</f>
        <v>1790</v>
      </c>
      <c r="G274" s="3">
        <f>SUMIFS(Лист2!$E:$E,Лист2!$A:$A,$A274,Лист2!$B:$B,$B274)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>
        <f>SUMIFS(Лист2!$C:$C,Лист2!$A:$A,$A275,Лист2!$B:$B,$B275)</f>
        <v>19</v>
      </c>
      <c r="F275" s="3">
        <f>SUMIFS(Лист2!$D:$D,Лист2!$A:$A,$A275,Лист2!$B:$B,$B275)</f>
        <v>1542</v>
      </c>
      <c r="G275" s="3">
        <f>SUMIFS(Лист2!$E:$E,Лист2!$A:$A,$A275,Лист2!$B:$B,$B275)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>
        <f>SUMIFS(Лист2!$C:$C,Лист2!$A:$A,$A276,Лист2!$B:$B,$B276)</f>
        <v>19</v>
      </c>
      <c r="F276" s="3">
        <f>SUMIFS(Лист2!$D:$D,Лист2!$A:$A,$A276,Лист2!$B:$B,$B276)</f>
        <v>1479</v>
      </c>
      <c r="G276" s="3">
        <f>SUMIFS(Лист2!$E:$E,Лист2!$A:$A,$A276,Лист2!$B:$B,$B276)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>
        <f>SUMIFS(Лист2!$C:$C,Лист2!$A:$A,$A277,Лист2!$B:$B,$B277)</f>
        <v>19</v>
      </c>
      <c r="F277" s="3">
        <f>SUMIFS(Лист2!$D:$D,Лист2!$A:$A,$A277,Лист2!$B:$B,$B277)</f>
        <v>1206</v>
      </c>
      <c r="G277" s="3">
        <f>SUMIFS(Лист2!$E:$E,Лист2!$A:$A,$A277,Лист2!$B:$B,$B277)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>
        <f>SUMIFS(Лист2!$C:$C,Лист2!$A:$A,$A278,Лист2!$B:$B,$B278)</f>
        <v>20</v>
      </c>
      <c r="F278" s="3">
        <f>SUMIFS(Лист2!$D:$D,Лист2!$A:$A,$A278,Лист2!$B:$B,$B278)</f>
        <v>1814</v>
      </c>
      <c r="G278" s="3">
        <f>SUMIFS(Лист2!$E:$E,Лист2!$A:$A,$A278,Лист2!$B:$B,$B278)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>
        <f>SUMIFS(Лист2!$C:$C,Лист2!$A:$A,$A279,Лист2!$B:$B,$B279)</f>
        <v>19</v>
      </c>
      <c r="F279" s="3">
        <f>SUMIFS(Лист2!$D:$D,Лист2!$A:$A,$A279,Лист2!$B:$B,$B279)</f>
        <v>1987</v>
      </c>
      <c r="G279" s="3">
        <f>SUMIFS(Лист2!$E:$E,Лист2!$A:$A,$A279,Лист2!$B:$B,$B279)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>
        <f>SUMIFS(Лист2!$C:$C,Лист2!$A:$A,$A280,Лист2!$B:$B,$B280)</f>
        <v>19</v>
      </c>
      <c r="F280" s="3">
        <f>SUMIFS(Лист2!$D:$D,Лист2!$A:$A,$A280,Лист2!$B:$B,$B280)</f>
        <v>1598</v>
      </c>
      <c r="G280" s="3">
        <f>SUMIFS(Лист2!$E:$E,Лист2!$A:$A,$A280,Лист2!$B:$B,$B280)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>
        <f>SUMIFS(Лист2!$C:$C,Лист2!$A:$A,$A281,Лист2!$B:$B,$B281)</f>
        <v>19</v>
      </c>
      <c r="F281" s="3">
        <f>SUMIFS(Лист2!$D:$D,Лист2!$A:$A,$A281,Лист2!$B:$B,$B281)</f>
        <v>1650</v>
      </c>
      <c r="G281" s="3">
        <f>SUMIFS(Лист2!$E:$E,Лист2!$A:$A,$A281,Лист2!$B:$B,$B281)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>
        <f>SUMIFS(Лист2!$C:$C,Лист2!$A:$A,$A282,Лист2!$B:$B,$B282)</f>
        <v>19</v>
      </c>
      <c r="F282" s="3">
        <f>SUMIFS(Лист2!$D:$D,Лист2!$A:$A,$A282,Лист2!$B:$B,$B282)</f>
        <v>1823</v>
      </c>
      <c r="G282" s="3">
        <f>SUMIFS(Лист2!$E:$E,Лист2!$A:$A,$A282,Лист2!$B:$B,$B282)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>
        <f>SUMIFS(Лист2!$C:$C,Лист2!$A:$A,$A283,Лист2!$B:$B,$B283)</f>
        <v>19</v>
      </c>
      <c r="F283" s="3">
        <f>SUMIFS(Лист2!$D:$D,Лист2!$A:$A,$A283,Лист2!$B:$B,$B283)</f>
        <v>1622</v>
      </c>
      <c r="G283" s="3">
        <f>SUMIFS(Лист2!$E:$E,Лист2!$A:$A,$A283,Лист2!$B:$B,$B283)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>
        <f>SUMIFS(Лист2!$C:$C,Лист2!$A:$A,$A284,Лист2!$B:$B,$B284)</f>
        <v>19</v>
      </c>
      <c r="F284" s="3">
        <f>SUMIFS(Лист2!$D:$D,Лист2!$A:$A,$A284,Лист2!$B:$B,$B284)</f>
        <v>1605</v>
      </c>
      <c r="G284" s="3">
        <f>SUMIFS(Лист2!$E:$E,Лист2!$A:$A,$A284,Лист2!$B:$B,$B284)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>
        <f>SUMIFS(Лист2!$C:$C,Лист2!$A:$A,$A285,Лист2!$B:$B,$B285)</f>
        <v>16</v>
      </c>
      <c r="F285" s="3">
        <f>SUMIFS(Лист2!$D:$D,Лист2!$A:$A,$A285,Лист2!$B:$B,$B285)</f>
        <v>917</v>
      </c>
      <c r="G285" s="3">
        <f>SUMIFS(Лист2!$E:$E,Лист2!$A:$A,$A285,Лист2!$B:$B,$B285)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>
        <f>SUMIFS(Лист2!$C:$C,Лист2!$A:$A,$A286,Лист2!$B:$B,$B286)</f>
        <v>19</v>
      </c>
      <c r="F286" s="3">
        <f>SUMIFS(Лист2!$D:$D,Лист2!$A:$A,$A286,Лист2!$B:$B,$B286)</f>
        <v>1314</v>
      </c>
      <c r="G286" s="3">
        <f>SUMIFS(Лист2!$E:$E,Лист2!$A:$A,$A286,Лист2!$B:$B,$B286)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>
        <f>SUMIFS(Лист2!$C:$C,Лист2!$A:$A,$A287,Лист2!$B:$B,$B287)</f>
        <v>16</v>
      </c>
      <c r="F287" s="3">
        <f>SUMIFS(Лист2!$D:$D,Лист2!$A:$A,$A287,Лист2!$B:$B,$B287)</f>
        <v>1048</v>
      </c>
      <c r="G287" s="3">
        <f>SUMIFS(Лист2!$E:$E,Лист2!$A:$A,$A287,Лист2!$B:$B,$B287)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>
        <f>SUMIFS(Лист2!$C:$C,Лист2!$A:$A,$A288,Лист2!$B:$B,$B288)</f>
        <v>19</v>
      </c>
      <c r="F288" s="3">
        <f>SUMIFS(Лист2!$D:$D,Лист2!$A:$A,$A288,Лист2!$B:$B,$B288)</f>
        <v>1509</v>
      </c>
      <c r="G288" s="3">
        <f>SUMIFS(Лист2!$E:$E,Лист2!$A:$A,$A288,Лист2!$B:$B,$B288)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>
        <f>SUMIFS(Лист2!$C:$C,Лист2!$A:$A,$A289,Лист2!$B:$B,$B289)</f>
        <v>19</v>
      </c>
      <c r="F289" s="3">
        <f>SUMIFS(Лист2!$D:$D,Лист2!$A:$A,$A289,Лист2!$B:$B,$B289)</f>
        <v>2195</v>
      </c>
      <c r="G289" s="3">
        <f>SUMIFS(Лист2!$E:$E,Лист2!$A:$A,$A289,Лист2!$B:$B,$B289)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>
        <f>SUMIFS(Лист2!$C:$C,Лист2!$A:$A,$A290,Лист2!$B:$B,$B290)</f>
        <v>16</v>
      </c>
      <c r="F290" s="3">
        <f>SUMIFS(Лист2!$D:$D,Лист2!$A:$A,$A290,Лист2!$B:$B,$B290)</f>
        <v>876</v>
      </c>
      <c r="G290" s="3">
        <f>SUMIFS(Лист2!$E:$E,Лист2!$A:$A,$A290,Лист2!$B:$B,$B290)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>
        <f>SUMIFS(Лист2!$C:$C,Лист2!$A:$A,$A291,Лист2!$B:$B,$B291)</f>
        <v>20</v>
      </c>
      <c r="F291" s="3">
        <f>SUMIFS(Лист2!$D:$D,Лист2!$A:$A,$A291,Лист2!$B:$B,$B291)</f>
        <v>1899</v>
      </c>
      <c r="G291" s="3">
        <f>SUMIFS(Лист2!$E:$E,Лист2!$A:$A,$A291,Лист2!$B:$B,$B291)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>
        <f>SUMIFS(Лист2!$C:$C,Лист2!$A:$A,$A292,Лист2!$B:$B,$B292)</f>
        <v>19</v>
      </c>
      <c r="F292" s="3">
        <f>SUMIFS(Лист2!$D:$D,Лист2!$A:$A,$A292,Лист2!$B:$B,$B292)</f>
        <v>1662</v>
      </c>
      <c r="G292" s="3">
        <f>SUMIFS(Лист2!$E:$E,Лист2!$A:$A,$A292,Лист2!$B:$B,$B292)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>
        <f>SUMIFS(Лист2!$C:$C,Лист2!$A:$A,$A293,Лист2!$B:$B,$B293)</f>
        <v>19</v>
      </c>
      <c r="F293" s="3">
        <f>SUMIFS(Лист2!$D:$D,Лист2!$A:$A,$A293,Лист2!$B:$B,$B293)</f>
        <v>1836</v>
      </c>
      <c r="G293" s="3">
        <f>SUMIFS(Лист2!$E:$E,Лист2!$A:$A,$A293,Лист2!$B:$B,$B293)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>
        <f>SUMIFS(Лист2!$C:$C,Лист2!$A:$A,$A294,Лист2!$B:$B,$B294)</f>
        <v>19</v>
      </c>
      <c r="F294" s="3">
        <f>SUMIFS(Лист2!$D:$D,Лист2!$A:$A,$A294,Лист2!$B:$B,$B294)</f>
        <v>1520</v>
      </c>
      <c r="G294" s="3">
        <f>SUMIFS(Лист2!$E:$E,Лист2!$A:$A,$A294,Лист2!$B:$B,$B294)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>
        <f>SUMIFS(Лист2!$C:$C,Лист2!$A:$A,$A295,Лист2!$B:$B,$B295)</f>
        <v>19</v>
      </c>
      <c r="F295" s="3">
        <f>SUMIFS(Лист2!$D:$D,Лист2!$A:$A,$A295,Лист2!$B:$B,$B295)</f>
        <v>1580</v>
      </c>
      <c r="G295" s="3">
        <f>SUMIFS(Лист2!$E:$E,Лист2!$A:$A,$A295,Лист2!$B:$B,$B295)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>
        <f>SUMIFS(Лист2!$C:$C,Лист2!$A:$A,$A296,Лист2!$B:$B,$B296)</f>
        <v>19</v>
      </c>
      <c r="F296" s="3">
        <f>SUMIFS(Лист2!$D:$D,Лист2!$A:$A,$A296,Лист2!$B:$B,$B296)</f>
        <v>1868</v>
      </c>
      <c r="G296" s="3">
        <f>SUMIFS(Лист2!$E:$E,Лист2!$A:$A,$A296,Лист2!$B:$B,$B296)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>
        <f>SUMIFS(Лист2!$C:$C,Лист2!$A:$A,$A297,Лист2!$B:$B,$B297)</f>
        <v>59</v>
      </c>
      <c r="F297" s="3">
        <f>SUMIFS(Лист2!$D:$D,Лист2!$A:$A,$A297,Лист2!$B:$B,$B297)</f>
        <v>13186</v>
      </c>
      <c r="G297" s="3">
        <f>SUMIFS(Лист2!$E:$E,Лист2!$A:$A,$A297,Лист2!$B:$B,$B297)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>
        <f>SUMIFS(Лист2!$C:$C,Лист2!$A:$A,$A298,Лист2!$B:$B,$B298)</f>
        <v>59</v>
      </c>
      <c r="F298" s="3">
        <f>SUMIFS(Лист2!$D:$D,Лист2!$A:$A,$A298,Лист2!$B:$B,$B298)</f>
        <v>12943</v>
      </c>
      <c r="G298" s="3">
        <f>SUMIFS(Лист2!$E:$E,Лист2!$A:$A,$A298,Лист2!$B:$B,$B298)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>
        <f>SUMIFS(Лист2!$C:$C,Лист2!$A:$A,$A299,Лист2!$B:$B,$B299)</f>
        <v>21</v>
      </c>
      <c r="F299" s="3">
        <f>SUMIFS(Лист2!$D:$D,Лист2!$A:$A,$A299,Лист2!$B:$B,$B299)</f>
        <v>2056</v>
      </c>
      <c r="G299" s="3">
        <f>SUMIFS(Лист2!$E:$E,Лист2!$A:$A,$A299,Лист2!$B:$B,$B299)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>
        <f>SUMIFS(Лист2!$C:$C,Лист2!$A:$A,$A300,Лист2!$B:$B,$B300)</f>
        <v>20</v>
      </c>
      <c r="F300" s="3">
        <f>SUMIFS(Лист2!$D:$D,Лист2!$A:$A,$A300,Лист2!$B:$B,$B300)</f>
        <v>2174</v>
      </c>
      <c r="G300" s="3">
        <f>SUMIFS(Лист2!$E:$E,Лист2!$A:$A,$A300,Лист2!$B:$B,$B300)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>
        <f>SUMIFS(Лист2!$C:$C,Лист2!$A:$A,$A301,Лист2!$B:$B,$B301)</f>
        <v>20</v>
      </c>
      <c r="F301" s="3">
        <f>SUMIFS(Лист2!$D:$D,Лист2!$A:$A,$A301,Лист2!$B:$B,$B301)</f>
        <v>1875</v>
      </c>
      <c r="G301" s="3">
        <f>SUMIFS(Лист2!$E:$E,Лист2!$A:$A,$A301,Лист2!$B:$B,$B301)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>
        <f>SUMIFS(Лист2!$C:$C,Лист2!$A:$A,$A302,Лист2!$B:$B,$B302)</f>
        <v>60</v>
      </c>
      <c r="F302" s="3">
        <f>SUMIFS(Лист2!$D:$D,Лист2!$A:$A,$A302,Лист2!$B:$B,$B302)</f>
        <v>14049</v>
      </c>
      <c r="G302" s="3">
        <f>SUMIFS(Лист2!$E:$E,Лист2!$A:$A,$A302,Лист2!$B:$B,$B302)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>
        <f>SUMIFS(Лист2!$C:$C,Лист2!$A:$A,$A303,Лист2!$B:$B,$B303)</f>
        <v>60</v>
      </c>
      <c r="F303" s="3">
        <f>SUMIFS(Лист2!$D:$D,Лист2!$A:$A,$A303,Лист2!$B:$B,$B303)</f>
        <v>13867</v>
      </c>
      <c r="G303" s="3">
        <f>SUMIFS(Лист2!$E:$E,Лист2!$A:$A,$A303,Лист2!$B:$B,$B303)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>
        <f>SUMIFS(Лист2!$C:$C,Лист2!$A:$A,$A304,Лист2!$B:$B,$B304)</f>
        <v>60</v>
      </c>
      <c r="F304" s="3">
        <f>SUMIFS(Лист2!$D:$D,Лист2!$A:$A,$A304,Лист2!$B:$B,$B304)</f>
        <v>11698</v>
      </c>
      <c r="G304" s="3">
        <f>SUMIFS(Лист2!$E:$E,Лист2!$A:$A,$A304,Лист2!$B:$B,$B304)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>
        <f>SUMIFS(Лист2!$C:$C,Лист2!$A:$A,$A305,Лист2!$B:$B,$B305)</f>
        <v>59</v>
      </c>
      <c r="F305" s="3">
        <f>SUMIFS(Лист2!$D:$D,Лист2!$A:$A,$A305,Лист2!$B:$B,$B305)</f>
        <v>12016</v>
      </c>
      <c r="G305" s="3">
        <f>SUMIFS(Лист2!$E:$E,Лист2!$A:$A,$A305,Лист2!$B:$B,$B305)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>
        <f>SUMIFS(Лист2!$C:$C,Лист2!$A:$A,$A306,Лист2!$B:$B,$B306)</f>
        <v>59</v>
      </c>
      <c r="F306" s="3">
        <f>SUMIFS(Лист2!$D:$D,Лист2!$A:$A,$A306,Лист2!$B:$B,$B306)</f>
        <v>14423</v>
      </c>
      <c r="G306" s="3">
        <f>SUMIFS(Лист2!$E:$E,Лист2!$A:$A,$A306,Лист2!$B:$B,$B306)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>
        <f>SUMIFS(Лист2!$C:$C,Лист2!$A:$A,$A307,Лист2!$B:$B,$B307)</f>
        <v>54</v>
      </c>
      <c r="F307" s="3">
        <f>SUMIFS(Лист2!$D:$D,Лист2!$A:$A,$A307,Лист2!$B:$B,$B307)</f>
        <v>12747</v>
      </c>
      <c r="G307" s="3">
        <f>SUMIFS(Лист2!$E:$E,Лист2!$A:$A,$A307,Лист2!$B:$B,$B307)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>
        <f>SUMIFS(Лист2!$C:$C,Лист2!$A:$A,$A308,Лист2!$B:$B,$B308)</f>
        <v>59</v>
      </c>
      <c r="F308" s="3">
        <f>SUMIFS(Лист2!$D:$D,Лист2!$A:$A,$A308,Лист2!$B:$B,$B308)</f>
        <v>12429</v>
      </c>
      <c r="G308" s="3">
        <f>SUMIFS(Лист2!$E:$E,Лист2!$A:$A,$A308,Лист2!$B:$B,$B308)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>
        <f>SUMIFS(Лист2!$C:$C,Лист2!$A:$A,$A309,Лист2!$B:$B,$B309)</f>
        <v>59</v>
      </c>
      <c r="F309" s="3">
        <f>SUMIFS(Лист2!$D:$D,Лист2!$A:$A,$A309,Лист2!$B:$B,$B309)</f>
        <v>15369</v>
      </c>
      <c r="G309" s="3">
        <f>SUMIFS(Лист2!$E:$E,Лист2!$A:$A,$A309,Лист2!$B:$B,$B309)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>
        <f>SUMIFS(Лист2!$C:$C,Лист2!$A:$A,$A310,Лист2!$B:$B,$B310)</f>
        <v>59</v>
      </c>
      <c r="F310" s="3">
        <f>SUMIFS(Лист2!$D:$D,Лист2!$A:$A,$A310,Лист2!$B:$B,$B310)</f>
        <v>15222</v>
      </c>
      <c r="G310" s="3">
        <f>SUMIFS(Лист2!$E:$E,Лист2!$A:$A,$A310,Лист2!$B:$B,$B310)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>
        <f>SUMIFS(Лист2!$C:$C,Лист2!$A:$A,$A311,Лист2!$B:$B,$B311)</f>
        <v>60</v>
      </c>
      <c r="F311" s="3">
        <f>SUMIFS(Лист2!$D:$D,Лист2!$A:$A,$A311,Лист2!$B:$B,$B311)</f>
        <v>12000</v>
      </c>
      <c r="G311" s="3">
        <f>SUMIFS(Лист2!$E:$E,Лист2!$A:$A,$A311,Лист2!$B:$B,$B311)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>
        <f>SUMIFS(Лист2!$C:$C,Лист2!$A:$A,$A312,Лист2!$B:$B,$B312)</f>
        <v>60</v>
      </c>
      <c r="F312" s="3">
        <f>SUMIFS(Лист2!$D:$D,Лист2!$A:$A,$A312,Лист2!$B:$B,$B312)</f>
        <v>14005</v>
      </c>
      <c r="G312" s="3">
        <f>SUMIFS(Лист2!$E:$E,Лист2!$A:$A,$A312,Лист2!$B:$B,$B312)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>
        <f>SUMIFS(Лист2!$C:$C,Лист2!$A:$A,$A313,Лист2!$B:$B,$B313)</f>
        <v>60</v>
      </c>
      <c r="F313" s="3">
        <f>SUMIFS(Лист2!$D:$D,Лист2!$A:$A,$A313,Лист2!$B:$B,$B313)</f>
        <v>13792</v>
      </c>
      <c r="G313" s="3">
        <f>SUMIFS(Лист2!$E:$E,Лист2!$A:$A,$A313,Лист2!$B:$B,$B313)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>
        <f>SUMIFS(Лист2!$C:$C,Лист2!$A:$A,$A314,Лист2!$B:$B,$B314)</f>
        <v>59</v>
      </c>
      <c r="F314" s="3">
        <f>SUMIFS(Лист2!$D:$D,Лист2!$A:$A,$A314,Лист2!$B:$B,$B314)</f>
        <v>13469</v>
      </c>
      <c r="G314" s="3">
        <f>SUMIFS(Лист2!$E:$E,Лист2!$A:$A,$A314,Лист2!$B:$B,$B314)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>
        <f>SUMIFS(Лист2!$C:$C,Лист2!$A:$A,$A315,Лист2!$B:$B,$B315)</f>
        <v>54</v>
      </c>
      <c r="F315" s="3">
        <f>SUMIFS(Лист2!$D:$D,Лист2!$A:$A,$A315,Лист2!$B:$B,$B315)</f>
        <v>12306</v>
      </c>
      <c r="G315" s="3">
        <f>SUMIFS(Лист2!$E:$E,Лист2!$A:$A,$A315,Лист2!$B:$B,$B315)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>
        <f>SUMIFS(Лист2!$C:$C,Лист2!$A:$A,$A316,Лист2!$B:$B,$B316)</f>
        <v>60</v>
      </c>
      <c r="F316" s="3">
        <f>SUMIFS(Лист2!$D:$D,Лист2!$A:$A,$A316,Лист2!$B:$B,$B316)</f>
        <v>12007</v>
      </c>
      <c r="G316" s="3">
        <f>SUMIFS(Лист2!$E:$E,Лист2!$A:$A,$A316,Лист2!$B:$B,$B316)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>
        <f>SUMIFS(Лист2!$C:$C,Лист2!$A:$A,$A317,Лист2!$B:$B,$B317)</f>
        <v>59</v>
      </c>
      <c r="F317" s="3">
        <f>SUMIFS(Лист2!$D:$D,Лист2!$A:$A,$A317,Лист2!$B:$B,$B317)</f>
        <v>15277</v>
      </c>
      <c r="G317" s="3">
        <f>SUMIFS(Лист2!$E:$E,Лист2!$A:$A,$A317,Лист2!$B:$B,$B317)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>
        <f>SUMIFS(Лист2!$C:$C,Лист2!$A:$A,$A318,Лист2!$B:$B,$B318)</f>
        <v>59</v>
      </c>
      <c r="F318" s="3">
        <f>SUMIFS(Лист2!$D:$D,Лист2!$A:$A,$A318,Лист2!$B:$B,$B318)</f>
        <v>14103</v>
      </c>
      <c r="G318" s="3">
        <f>SUMIFS(Лист2!$E:$E,Лист2!$A:$A,$A318,Лист2!$B:$B,$B318)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>
        <f>SUMIFS(Лист2!$C:$C,Лист2!$A:$A,$A319,Лист2!$B:$B,$B319)</f>
        <v>60</v>
      </c>
      <c r="F319" s="3">
        <f>SUMIFS(Лист2!$D:$D,Лист2!$A:$A,$A319,Лист2!$B:$B,$B319)</f>
        <v>17295</v>
      </c>
      <c r="G319" s="3">
        <f>SUMIFS(Лист2!$E:$E,Лист2!$A:$A,$A319,Лист2!$B:$B,$B319)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>
        <f>SUMIFS(Лист2!$C:$C,Лист2!$A:$A,$A320,Лист2!$B:$B,$B320)</f>
        <v>59</v>
      </c>
      <c r="F320" s="3">
        <f>SUMIFS(Лист2!$D:$D,Лист2!$A:$A,$A320,Лист2!$B:$B,$B320)</f>
        <v>12983</v>
      </c>
      <c r="G320" s="3">
        <f>SUMIFS(Лист2!$E:$E,Лист2!$A:$A,$A320,Лист2!$B:$B,$B320)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>
        <f>SUMIFS(Лист2!$C:$C,Лист2!$A:$A,$A321,Лист2!$B:$B,$B321)</f>
        <v>59</v>
      </c>
      <c r="F321" s="3">
        <f>SUMIFS(Лист2!$D:$D,Лист2!$A:$A,$A321,Лист2!$B:$B,$B321)</f>
        <v>13251</v>
      </c>
      <c r="G321" s="3">
        <f>SUMIFS(Лист2!$E:$E,Лист2!$A:$A,$A321,Лист2!$B:$B,$B321)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>
        <f>SUMIFS(Лист2!$C:$C,Лист2!$A:$A,$A322,Лист2!$B:$B,$B322)</f>
        <v>59</v>
      </c>
      <c r="F322" s="3">
        <f>SUMIFS(Лист2!$D:$D,Лист2!$A:$A,$A322,Лист2!$B:$B,$B322)</f>
        <v>14569</v>
      </c>
      <c r="G322" s="3">
        <f>SUMIFS(Лист2!$E:$E,Лист2!$A:$A,$A322,Лист2!$B:$B,$B322)</f>
        <v>13566</v>
      </c>
      <c r="H322">
        <f t="shared" ref="H322:H385" si="10">IFERROR(D322/E322,0)</f>
        <v>421871.26271186443</v>
      </c>
      <c r="I322">
        <f t="shared" ref="I322:I385" si="11">WEEKNUM(A322,2)</f>
        <v>19</v>
      </c>
    </row>
    <row r="323" spans="1:9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>
        <f>SUMIFS(Лист2!$C:$C,Лист2!$A:$A,$A323,Лист2!$B:$B,$B323)</f>
        <v>59</v>
      </c>
      <c r="F323" s="3">
        <f>SUMIFS(Лист2!$D:$D,Лист2!$A:$A,$A323,Лист2!$B:$B,$B323)</f>
        <v>14098</v>
      </c>
      <c r="G323" s="3">
        <f>SUMIFS(Лист2!$E:$E,Лист2!$A:$A,$A323,Лист2!$B:$B,$B323)</f>
        <v>13106</v>
      </c>
      <c r="H323">
        <f t="shared" si="10"/>
        <v>404778.78813559323</v>
      </c>
      <c r="I323">
        <f t="shared" si="11"/>
        <v>19</v>
      </c>
    </row>
    <row r="324" spans="1:9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>
        <f>SUMIFS(Лист2!$C:$C,Лист2!$A:$A,$A324,Лист2!$B:$B,$B324)</f>
        <v>59</v>
      </c>
      <c r="F324" s="3">
        <f>SUMIFS(Лист2!$D:$D,Лист2!$A:$A,$A324,Лист2!$B:$B,$B324)</f>
        <v>13495</v>
      </c>
      <c r="G324" s="3">
        <f>SUMIFS(Лист2!$E:$E,Лист2!$A:$A,$A324,Лист2!$B:$B,$B324)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>
        <f>SUMIFS(Лист2!$C:$C,Лист2!$A:$A,$A325,Лист2!$B:$B,$B325)</f>
        <v>60</v>
      </c>
      <c r="F325" s="3">
        <f>SUMIFS(Лист2!$D:$D,Лист2!$A:$A,$A325,Лист2!$B:$B,$B325)</f>
        <v>12822</v>
      </c>
      <c r="G325" s="3">
        <f>SUMIFS(Лист2!$E:$E,Лист2!$A:$A,$A325,Лист2!$B:$B,$B325)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>
        <f>SUMIFS(Лист2!$C:$C,Лист2!$A:$A,$A326,Лист2!$B:$B,$B326)</f>
        <v>54</v>
      </c>
      <c r="F326" s="3">
        <f>SUMIFS(Лист2!$D:$D,Лист2!$A:$A,$A326,Лист2!$B:$B,$B326)</f>
        <v>13170</v>
      </c>
      <c r="G326" s="3">
        <f>SUMIFS(Лист2!$E:$E,Лист2!$A:$A,$A326,Лист2!$B:$B,$B326)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>
        <f>SUMIFS(Лист2!$C:$C,Лист2!$A:$A,$A327,Лист2!$B:$B,$B327)</f>
        <v>54</v>
      </c>
      <c r="F327" s="3">
        <f>SUMIFS(Лист2!$D:$D,Лист2!$A:$A,$A327,Лист2!$B:$B,$B327)</f>
        <v>13070</v>
      </c>
      <c r="G327" s="3">
        <f>SUMIFS(Лист2!$E:$E,Лист2!$A:$A,$A327,Лист2!$B:$B,$B327)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>
        <f>SUMIFS(Лист2!$C:$C,Лист2!$A:$A,$A328,Лист2!$B:$B,$B328)</f>
        <v>54</v>
      </c>
      <c r="F328" s="3">
        <f>SUMIFS(Лист2!$D:$D,Лист2!$A:$A,$A328,Лист2!$B:$B,$B328)</f>
        <v>11128</v>
      </c>
      <c r="G328" s="3">
        <f>SUMIFS(Лист2!$E:$E,Лист2!$A:$A,$A328,Лист2!$B:$B,$B328)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>
        <f>SUMIFS(Лист2!$C:$C,Лист2!$A:$A,$A329,Лист2!$B:$B,$B329)</f>
        <v>54</v>
      </c>
      <c r="F329" s="3">
        <f>SUMIFS(Лист2!$D:$D,Лист2!$A:$A,$A329,Лист2!$B:$B,$B329)</f>
        <v>11288</v>
      </c>
      <c r="G329" s="3">
        <f>SUMIFS(Лист2!$E:$E,Лист2!$A:$A,$A329,Лист2!$B:$B,$B329)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>
        <f>SUMIFS(Лист2!$C:$C,Лист2!$A:$A,$A330,Лист2!$B:$B,$B330)</f>
        <v>54</v>
      </c>
      <c r="F330" s="3">
        <f>SUMIFS(Лист2!$D:$D,Лист2!$A:$A,$A330,Лист2!$B:$B,$B330)</f>
        <v>13606</v>
      </c>
      <c r="G330" s="3">
        <f>SUMIFS(Лист2!$E:$E,Лист2!$A:$A,$A330,Лист2!$B:$B,$B330)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>
        <f>SUMIFS(Лист2!$C:$C,Лист2!$A:$A,$A331,Лист2!$B:$B,$B331)</f>
        <v>54</v>
      </c>
      <c r="F331" s="3">
        <f>SUMIFS(Лист2!$D:$D,Лист2!$A:$A,$A331,Лист2!$B:$B,$B331)</f>
        <v>11622</v>
      </c>
      <c r="G331" s="3">
        <f>SUMIFS(Лист2!$E:$E,Лист2!$A:$A,$A331,Лист2!$B:$B,$B331)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>
        <f>SUMIFS(Лист2!$C:$C,Лист2!$A:$A,$A332,Лист2!$B:$B,$B332)</f>
        <v>54</v>
      </c>
      <c r="F332" s="3">
        <f>SUMIFS(Лист2!$D:$D,Лист2!$A:$A,$A332,Лист2!$B:$B,$B332)</f>
        <v>14482</v>
      </c>
      <c r="G332" s="3">
        <f>SUMIFS(Лист2!$E:$E,Лист2!$A:$A,$A332,Лист2!$B:$B,$B332)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>
        <f>SUMIFS(Лист2!$C:$C,Лист2!$A:$A,$A333,Лист2!$B:$B,$B333)</f>
        <v>54</v>
      </c>
      <c r="F333" s="3">
        <f>SUMIFS(Лист2!$D:$D,Лист2!$A:$A,$A333,Лист2!$B:$B,$B333)</f>
        <v>14205</v>
      </c>
      <c r="G333" s="3">
        <f>SUMIFS(Лист2!$E:$E,Лист2!$A:$A,$A333,Лист2!$B:$B,$B333)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>
        <f>SUMIFS(Лист2!$C:$C,Лист2!$A:$A,$A334,Лист2!$B:$B,$B334)</f>
        <v>54</v>
      </c>
      <c r="F334" s="3">
        <f>SUMIFS(Лист2!$D:$D,Лист2!$A:$A,$A334,Лист2!$B:$B,$B334)</f>
        <v>11614</v>
      </c>
      <c r="G334" s="3">
        <f>SUMIFS(Лист2!$E:$E,Лист2!$A:$A,$A334,Лист2!$B:$B,$B334)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>
        <f>SUMIFS(Лист2!$C:$C,Лист2!$A:$A,$A335,Лист2!$B:$B,$B335)</f>
        <v>54</v>
      </c>
      <c r="F335" s="3">
        <f>SUMIFS(Лист2!$D:$D,Лист2!$A:$A,$A335,Лист2!$B:$B,$B335)</f>
        <v>13240</v>
      </c>
      <c r="G335" s="3">
        <f>SUMIFS(Лист2!$E:$E,Лист2!$A:$A,$A335,Лист2!$B:$B,$B335)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>
        <f>SUMIFS(Лист2!$C:$C,Лист2!$A:$A,$A336,Лист2!$B:$B,$B336)</f>
        <v>54</v>
      </c>
      <c r="F336" s="3">
        <f>SUMIFS(Лист2!$D:$D,Лист2!$A:$A,$A336,Лист2!$B:$B,$B336)</f>
        <v>13298</v>
      </c>
      <c r="G336" s="3">
        <f>SUMIFS(Лист2!$E:$E,Лист2!$A:$A,$A336,Лист2!$B:$B,$B336)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>
        <f>SUMIFS(Лист2!$C:$C,Лист2!$A:$A,$A337,Лист2!$B:$B,$B337)</f>
        <v>54</v>
      </c>
      <c r="F337" s="3">
        <f>SUMIFS(Лист2!$D:$D,Лист2!$A:$A,$A337,Лист2!$B:$B,$B337)</f>
        <v>12775</v>
      </c>
      <c r="G337" s="3">
        <f>SUMIFS(Лист2!$E:$E,Лист2!$A:$A,$A337,Лист2!$B:$B,$B337)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>
        <f>SUMIFS(Лист2!$C:$C,Лист2!$A:$A,$A338,Лист2!$B:$B,$B338)</f>
        <v>54</v>
      </c>
      <c r="F338" s="3">
        <f>SUMIFS(Лист2!$D:$D,Лист2!$A:$A,$A338,Лист2!$B:$B,$B338)</f>
        <v>11522</v>
      </c>
      <c r="G338" s="3">
        <f>SUMIFS(Лист2!$E:$E,Лист2!$A:$A,$A338,Лист2!$B:$B,$B338)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>
        <f>SUMIFS(Лист2!$C:$C,Лист2!$A:$A,$A339,Лист2!$B:$B,$B339)</f>
        <v>59</v>
      </c>
      <c r="F339" s="3">
        <f>SUMIFS(Лист2!$D:$D,Лист2!$A:$A,$A339,Лист2!$B:$B,$B339)</f>
        <v>13684</v>
      </c>
      <c r="G339" s="3">
        <f>SUMIFS(Лист2!$E:$E,Лист2!$A:$A,$A339,Лист2!$B:$B,$B339)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>
        <f>SUMIFS(Лист2!$C:$C,Лист2!$A:$A,$A340,Лист2!$B:$B,$B340)</f>
        <v>54</v>
      </c>
      <c r="F340" s="3">
        <f>SUMIFS(Лист2!$D:$D,Лист2!$A:$A,$A340,Лист2!$B:$B,$B340)</f>
        <v>14823</v>
      </c>
      <c r="G340" s="3">
        <f>SUMIFS(Лист2!$E:$E,Лист2!$A:$A,$A340,Лист2!$B:$B,$B340)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>
        <f>SUMIFS(Лист2!$C:$C,Лист2!$A:$A,$A341,Лист2!$B:$B,$B341)</f>
        <v>59</v>
      </c>
      <c r="F341" s="3">
        <f>SUMIFS(Лист2!$D:$D,Лист2!$A:$A,$A341,Лист2!$B:$B,$B341)</f>
        <v>15030</v>
      </c>
      <c r="G341" s="3">
        <f>SUMIFS(Лист2!$E:$E,Лист2!$A:$A,$A341,Лист2!$B:$B,$B341)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>
        <f>SUMIFS(Лист2!$C:$C,Лист2!$A:$A,$A342,Лист2!$B:$B,$B342)</f>
        <v>54</v>
      </c>
      <c r="F342" s="3">
        <f>SUMIFS(Лист2!$D:$D,Лист2!$A:$A,$A342,Лист2!$B:$B,$B342)</f>
        <v>13406</v>
      </c>
      <c r="G342" s="3">
        <f>SUMIFS(Лист2!$E:$E,Лист2!$A:$A,$A342,Лист2!$B:$B,$B342)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>
        <f>SUMIFS(Лист2!$C:$C,Лист2!$A:$A,$A343,Лист2!$B:$B,$B343)</f>
        <v>54</v>
      </c>
      <c r="F343" s="3">
        <f>SUMIFS(Лист2!$D:$D,Лист2!$A:$A,$A343,Лист2!$B:$B,$B343)</f>
        <v>16221</v>
      </c>
      <c r="G343" s="3">
        <f>SUMIFS(Лист2!$E:$E,Лист2!$A:$A,$A343,Лист2!$B:$B,$B343)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>
        <f>SUMIFS(Лист2!$C:$C,Лист2!$A:$A,$A344,Лист2!$B:$B,$B344)</f>
        <v>60</v>
      </c>
      <c r="F344" s="3">
        <f>SUMIFS(Лист2!$D:$D,Лист2!$A:$A,$A344,Лист2!$B:$B,$B344)</f>
        <v>12854</v>
      </c>
      <c r="G344" s="3">
        <f>SUMIFS(Лист2!$E:$E,Лист2!$A:$A,$A344,Лист2!$B:$B,$B344)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>
        <f>SUMIFS(Лист2!$C:$C,Лист2!$A:$A,$A345,Лист2!$B:$B,$B345)</f>
        <v>54</v>
      </c>
      <c r="F345" s="3">
        <f>SUMIFS(Лист2!$D:$D,Лист2!$A:$A,$A345,Лист2!$B:$B,$B345)</f>
        <v>12336</v>
      </c>
      <c r="G345" s="3">
        <f>SUMIFS(Лист2!$E:$E,Лист2!$A:$A,$A345,Лист2!$B:$B,$B345)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>
        <f>SUMIFS(Лист2!$C:$C,Лист2!$A:$A,$A346,Лист2!$B:$B,$B346)</f>
        <v>54</v>
      </c>
      <c r="F346" s="3">
        <f>SUMIFS(Лист2!$D:$D,Лист2!$A:$A,$A346,Лист2!$B:$B,$B346)</f>
        <v>12817</v>
      </c>
      <c r="G346" s="3">
        <f>SUMIFS(Лист2!$E:$E,Лист2!$A:$A,$A346,Лист2!$B:$B,$B346)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>
        <f>SUMIFS(Лист2!$C:$C,Лист2!$A:$A,$A347,Лист2!$B:$B,$B347)</f>
        <v>54</v>
      </c>
      <c r="F347" s="3">
        <f>SUMIFS(Лист2!$D:$D,Лист2!$A:$A,$A347,Лист2!$B:$B,$B347)</f>
        <v>13832</v>
      </c>
      <c r="G347" s="3">
        <f>SUMIFS(Лист2!$E:$E,Лист2!$A:$A,$A347,Лист2!$B:$B,$B347)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>
        <f>SUMIFS(Лист2!$C:$C,Лист2!$A:$A,$A348,Лист2!$B:$B,$B348)</f>
        <v>54</v>
      </c>
      <c r="F348" s="3">
        <f>SUMIFS(Лист2!$D:$D,Лист2!$A:$A,$A348,Лист2!$B:$B,$B348)</f>
        <v>13563</v>
      </c>
      <c r="G348" s="3">
        <f>SUMIFS(Лист2!$E:$E,Лист2!$A:$A,$A348,Лист2!$B:$B,$B348)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>
        <f>SUMIFS(Лист2!$C:$C,Лист2!$A:$A,$A349,Лист2!$B:$B,$B349)</f>
        <v>54</v>
      </c>
      <c r="F349" s="3">
        <f>SUMIFS(Лист2!$D:$D,Лист2!$A:$A,$A349,Лист2!$B:$B,$B349)</f>
        <v>12743</v>
      </c>
      <c r="G349" s="3">
        <f>SUMIFS(Лист2!$E:$E,Лист2!$A:$A,$A349,Лист2!$B:$B,$B349)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>
        <f>SUMIFS(Лист2!$C:$C,Лист2!$A:$A,$A350,Лист2!$B:$B,$B350)</f>
        <v>54</v>
      </c>
      <c r="F350" s="3">
        <f>SUMIFS(Лист2!$D:$D,Лист2!$A:$A,$A350,Лист2!$B:$B,$B350)</f>
        <v>12211</v>
      </c>
      <c r="G350" s="3">
        <f>SUMIFS(Лист2!$E:$E,Лист2!$A:$A,$A350,Лист2!$B:$B,$B350)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>
        <f>SUMIFS(Лист2!$C:$C,Лист2!$A:$A,$A351,Лист2!$B:$B,$B351)</f>
        <v>15</v>
      </c>
      <c r="F351" s="3">
        <f>SUMIFS(Лист2!$D:$D,Лист2!$A:$A,$A351,Лист2!$B:$B,$B351)</f>
        <v>659</v>
      </c>
      <c r="G351" s="3">
        <f>SUMIFS(Лист2!$E:$E,Лист2!$A:$A,$A351,Лист2!$B:$B,$B351)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>
        <f>SUMIFS(Лист2!$C:$C,Лист2!$A:$A,$A352,Лист2!$B:$B,$B352)</f>
        <v>15</v>
      </c>
      <c r="F352" s="3">
        <f>SUMIFS(Лист2!$D:$D,Лист2!$A:$A,$A352,Лист2!$B:$B,$B352)</f>
        <v>636</v>
      </c>
      <c r="G352" s="3">
        <f>SUMIFS(Лист2!$E:$E,Лист2!$A:$A,$A352,Лист2!$B:$B,$B352)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>
        <f>SUMIFS(Лист2!$C:$C,Лист2!$A:$A,$A353,Лист2!$B:$B,$B353)</f>
        <v>54</v>
      </c>
      <c r="F353" s="3">
        <f>SUMIFS(Лист2!$D:$D,Лист2!$A:$A,$A353,Лист2!$B:$B,$B353)</f>
        <v>13106</v>
      </c>
      <c r="G353" s="3">
        <f>SUMIFS(Лист2!$E:$E,Лист2!$A:$A,$A353,Лист2!$B:$B,$B353)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>
        <f>SUMIFS(Лист2!$C:$C,Лист2!$A:$A,$A354,Лист2!$B:$B,$B354)</f>
        <v>54</v>
      </c>
      <c r="F354" s="3">
        <f>SUMIFS(Лист2!$D:$D,Лист2!$A:$A,$A354,Лист2!$B:$B,$B354)</f>
        <v>14590</v>
      </c>
      <c r="G354" s="3">
        <f>SUMIFS(Лист2!$E:$E,Лист2!$A:$A,$A354,Лист2!$B:$B,$B354)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>
        <f>SUMIFS(Лист2!$C:$C,Лист2!$A:$A,$A355,Лист2!$B:$B,$B355)</f>
        <v>54</v>
      </c>
      <c r="F355" s="3">
        <f>SUMIFS(Лист2!$D:$D,Лист2!$A:$A,$A355,Лист2!$B:$B,$B355)</f>
        <v>12409</v>
      </c>
      <c r="G355" s="3">
        <f>SUMIFS(Лист2!$E:$E,Лист2!$A:$A,$A355,Лист2!$B:$B,$B355)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>
        <f>SUMIFS(Лист2!$C:$C,Лист2!$A:$A,$A356,Лист2!$B:$B,$B356)</f>
        <v>16</v>
      </c>
      <c r="F356" s="3">
        <f>SUMIFS(Лист2!$D:$D,Лист2!$A:$A,$A356,Лист2!$B:$B,$B356)</f>
        <v>920</v>
      </c>
      <c r="G356" s="3">
        <f>SUMIFS(Лист2!$E:$E,Лист2!$A:$A,$A356,Лист2!$B:$B,$B356)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>
        <f>SUMIFS(Лист2!$C:$C,Лист2!$A:$A,$A357,Лист2!$B:$B,$B357)</f>
        <v>17</v>
      </c>
      <c r="F357" s="3">
        <f>SUMIFS(Лист2!$D:$D,Лист2!$A:$A,$A357,Лист2!$B:$B,$B357)</f>
        <v>857</v>
      </c>
      <c r="G357" s="3">
        <f>SUMIFS(Лист2!$E:$E,Лист2!$A:$A,$A357,Лист2!$B:$B,$B357)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>
        <f>SUMIFS(Лист2!$C:$C,Лист2!$A:$A,$A358,Лист2!$B:$B,$B358)</f>
        <v>16</v>
      </c>
      <c r="F358" s="3">
        <f>SUMIFS(Лист2!$D:$D,Лист2!$A:$A,$A358,Лист2!$B:$B,$B358)</f>
        <v>859</v>
      </c>
      <c r="G358" s="3">
        <f>SUMIFS(Лист2!$E:$E,Лист2!$A:$A,$A358,Лист2!$B:$B,$B358)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>
        <f>SUMIFS(Лист2!$C:$C,Лист2!$A:$A,$A359,Лист2!$B:$B,$B359)</f>
        <v>15</v>
      </c>
      <c r="F359" s="3">
        <f>SUMIFS(Лист2!$D:$D,Лист2!$A:$A,$A359,Лист2!$B:$B,$B359)</f>
        <v>654</v>
      </c>
      <c r="G359" s="3">
        <f>SUMIFS(Лист2!$E:$E,Лист2!$A:$A,$A359,Лист2!$B:$B,$B359)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>
        <f>SUMIFS(Лист2!$C:$C,Лист2!$A:$A,$A360,Лист2!$B:$B,$B360)</f>
        <v>15</v>
      </c>
      <c r="F360" s="3">
        <f>SUMIFS(Лист2!$D:$D,Лист2!$A:$A,$A360,Лист2!$B:$B,$B360)</f>
        <v>622</v>
      </c>
      <c r="G360" s="3">
        <f>SUMIFS(Лист2!$E:$E,Лист2!$A:$A,$A360,Лист2!$B:$B,$B360)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>
        <f>SUMIFS(Лист2!$C:$C,Лист2!$A:$A,$A361,Лист2!$B:$B,$B361)</f>
        <v>15</v>
      </c>
      <c r="F361" s="3">
        <f>SUMIFS(Лист2!$D:$D,Лист2!$A:$A,$A361,Лист2!$B:$B,$B361)</f>
        <v>567</v>
      </c>
      <c r="G361" s="3">
        <f>SUMIFS(Лист2!$E:$E,Лист2!$A:$A,$A361,Лист2!$B:$B,$B361)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>
        <f>SUMIFS(Лист2!$C:$C,Лист2!$A:$A,$A362,Лист2!$B:$B,$B362)</f>
        <v>7</v>
      </c>
      <c r="F362" s="3">
        <f>SUMIFS(Лист2!$D:$D,Лист2!$A:$A,$A362,Лист2!$B:$B,$B362)</f>
        <v>577</v>
      </c>
      <c r="G362" s="3">
        <f>SUMIFS(Лист2!$E:$E,Лист2!$A:$A,$A362,Лист2!$B:$B,$B362)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>
        <f>SUMIFS(Лист2!$C:$C,Лист2!$A:$A,$A363,Лист2!$B:$B,$B363)</f>
        <v>15</v>
      </c>
      <c r="F363" s="3">
        <f>SUMIFS(Лист2!$D:$D,Лист2!$A:$A,$A363,Лист2!$B:$B,$B363)</f>
        <v>721</v>
      </c>
      <c r="G363" s="3">
        <f>SUMIFS(Лист2!$E:$E,Лист2!$A:$A,$A363,Лист2!$B:$B,$B363)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>
        <f>SUMIFS(Лист2!$C:$C,Лист2!$A:$A,$A364,Лист2!$B:$B,$B364)</f>
        <v>15</v>
      </c>
      <c r="F364" s="3">
        <f>SUMIFS(Лист2!$D:$D,Лист2!$A:$A,$A364,Лист2!$B:$B,$B364)</f>
        <v>750</v>
      </c>
      <c r="G364" s="3">
        <f>SUMIFS(Лист2!$E:$E,Лист2!$A:$A,$A364,Лист2!$B:$B,$B364)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>
        <f>SUMIFS(Лист2!$C:$C,Лист2!$A:$A,$A365,Лист2!$B:$B,$B365)</f>
        <v>18</v>
      </c>
      <c r="F365" s="3">
        <f>SUMIFS(Лист2!$D:$D,Лист2!$A:$A,$A365,Лист2!$B:$B,$B365)</f>
        <v>888</v>
      </c>
      <c r="G365" s="3">
        <f>SUMIFS(Лист2!$E:$E,Лист2!$A:$A,$A365,Лист2!$B:$B,$B365)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>
        <f>SUMIFS(Лист2!$C:$C,Лист2!$A:$A,$A366,Лист2!$B:$B,$B366)</f>
        <v>17</v>
      </c>
      <c r="F366" s="3">
        <f>SUMIFS(Лист2!$D:$D,Лист2!$A:$A,$A366,Лист2!$B:$B,$B366)</f>
        <v>890</v>
      </c>
      <c r="G366" s="3">
        <f>SUMIFS(Лист2!$E:$E,Лист2!$A:$A,$A366,Лист2!$B:$B,$B366)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>
        <f>SUMIFS(Лист2!$C:$C,Лист2!$A:$A,$A367,Лист2!$B:$B,$B367)</f>
        <v>15</v>
      </c>
      <c r="F367" s="3">
        <f>SUMIFS(Лист2!$D:$D,Лист2!$A:$A,$A367,Лист2!$B:$B,$B367)</f>
        <v>750</v>
      </c>
      <c r="G367" s="3">
        <f>SUMIFS(Лист2!$E:$E,Лист2!$A:$A,$A367,Лист2!$B:$B,$B367)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>
        <f>SUMIFS(Лист2!$C:$C,Лист2!$A:$A,$A368,Лист2!$B:$B,$B368)</f>
        <v>15</v>
      </c>
      <c r="F368" s="3">
        <f>SUMIFS(Лист2!$D:$D,Лист2!$A:$A,$A368,Лист2!$B:$B,$B368)</f>
        <v>854</v>
      </c>
      <c r="G368" s="3">
        <f>SUMIFS(Лист2!$E:$E,Лист2!$A:$A,$A368,Лист2!$B:$B,$B368)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>
        <f>SUMIFS(Лист2!$C:$C,Лист2!$A:$A,$A369,Лист2!$B:$B,$B369)</f>
        <v>15</v>
      </c>
      <c r="F369" s="3">
        <f>SUMIFS(Лист2!$D:$D,Лист2!$A:$A,$A369,Лист2!$B:$B,$B369)</f>
        <v>585</v>
      </c>
      <c r="G369" s="3">
        <f>SUMIFS(Лист2!$E:$E,Лист2!$A:$A,$A369,Лист2!$B:$B,$B369)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>
        <f>SUMIFS(Лист2!$C:$C,Лист2!$A:$A,$A370,Лист2!$B:$B,$B370)</f>
        <v>15</v>
      </c>
      <c r="F370" s="3">
        <f>SUMIFS(Лист2!$D:$D,Лист2!$A:$A,$A370,Лист2!$B:$B,$B370)</f>
        <v>701</v>
      </c>
      <c r="G370" s="3">
        <f>SUMIFS(Лист2!$E:$E,Лист2!$A:$A,$A370,Лист2!$B:$B,$B370)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>
        <f>SUMIFS(Лист2!$C:$C,Лист2!$A:$A,$A371,Лист2!$B:$B,$B371)</f>
        <v>18</v>
      </c>
      <c r="F371" s="3">
        <f>SUMIFS(Лист2!$D:$D,Лист2!$A:$A,$A371,Лист2!$B:$B,$B371)</f>
        <v>1031</v>
      </c>
      <c r="G371" s="3">
        <f>SUMIFS(Лист2!$E:$E,Лист2!$A:$A,$A371,Лист2!$B:$B,$B371)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>
        <f>SUMIFS(Лист2!$C:$C,Лист2!$A:$A,$A372,Лист2!$B:$B,$B372)</f>
        <v>18</v>
      </c>
      <c r="F372" s="3">
        <f>SUMIFS(Лист2!$D:$D,Лист2!$A:$A,$A372,Лист2!$B:$B,$B372)</f>
        <v>989</v>
      </c>
      <c r="G372" s="3">
        <f>SUMIFS(Лист2!$E:$E,Лист2!$A:$A,$A372,Лист2!$B:$B,$B372)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>
        <f>SUMIFS(Лист2!$C:$C,Лист2!$A:$A,$A373,Лист2!$B:$B,$B373)</f>
        <v>15</v>
      </c>
      <c r="F373" s="3">
        <f>SUMIFS(Лист2!$D:$D,Лист2!$A:$A,$A373,Лист2!$B:$B,$B373)</f>
        <v>644</v>
      </c>
      <c r="G373" s="3">
        <f>SUMIFS(Лист2!$E:$E,Лист2!$A:$A,$A373,Лист2!$B:$B,$B373)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>
        <f>SUMIFS(Лист2!$C:$C,Лист2!$A:$A,$A374,Лист2!$B:$B,$B374)</f>
        <v>15</v>
      </c>
      <c r="F374" s="3">
        <f>SUMIFS(Лист2!$D:$D,Лист2!$A:$A,$A374,Лист2!$B:$B,$B374)</f>
        <v>792</v>
      </c>
      <c r="G374" s="3">
        <f>SUMIFS(Лист2!$E:$E,Лист2!$A:$A,$A374,Лист2!$B:$B,$B374)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>
        <f>SUMIFS(Лист2!$C:$C,Лист2!$A:$A,$A375,Лист2!$B:$B,$B375)</f>
        <v>15</v>
      </c>
      <c r="F375" s="3">
        <f>SUMIFS(Лист2!$D:$D,Лист2!$A:$A,$A375,Лист2!$B:$B,$B375)</f>
        <v>703</v>
      </c>
      <c r="G375" s="3">
        <f>SUMIFS(Лист2!$E:$E,Лист2!$A:$A,$A375,Лист2!$B:$B,$B375)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>
        <f>SUMIFS(Лист2!$C:$C,Лист2!$A:$A,$A376,Лист2!$B:$B,$B376)</f>
        <v>15</v>
      </c>
      <c r="F376" s="3">
        <f>SUMIFS(Лист2!$D:$D,Лист2!$A:$A,$A376,Лист2!$B:$B,$B376)</f>
        <v>676</v>
      </c>
      <c r="G376" s="3">
        <f>SUMIFS(Лист2!$E:$E,Лист2!$A:$A,$A376,Лист2!$B:$B,$B376)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>
        <f>SUMIFS(Лист2!$C:$C,Лист2!$A:$A,$A377,Лист2!$B:$B,$B377)</f>
        <v>18</v>
      </c>
      <c r="F377" s="3">
        <f>SUMIFS(Лист2!$D:$D,Лист2!$A:$A,$A377,Лист2!$B:$B,$B377)</f>
        <v>1006</v>
      </c>
      <c r="G377" s="3">
        <f>SUMIFS(Лист2!$E:$E,Лист2!$A:$A,$A377,Лист2!$B:$B,$B377)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>
        <f>SUMIFS(Лист2!$C:$C,Лист2!$A:$A,$A378,Лист2!$B:$B,$B378)</f>
        <v>18</v>
      </c>
      <c r="F378" s="3">
        <f>SUMIFS(Лист2!$D:$D,Лист2!$A:$A,$A378,Лист2!$B:$B,$B378)</f>
        <v>914</v>
      </c>
      <c r="G378" s="3">
        <f>SUMIFS(Лист2!$E:$E,Лист2!$A:$A,$A378,Лист2!$B:$B,$B378)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>
        <f>SUMIFS(Лист2!$C:$C,Лист2!$A:$A,$A379,Лист2!$B:$B,$B379)</f>
        <v>15</v>
      </c>
      <c r="F379" s="3">
        <f>SUMIFS(Лист2!$D:$D,Лист2!$A:$A,$A379,Лист2!$B:$B,$B379)</f>
        <v>453</v>
      </c>
      <c r="G379" s="3">
        <f>SUMIFS(Лист2!$E:$E,Лист2!$A:$A,$A379,Лист2!$B:$B,$B379)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>
        <f>SUMIFS(Лист2!$C:$C,Лист2!$A:$A,$A380,Лист2!$B:$B,$B380)</f>
        <v>9</v>
      </c>
      <c r="F380" s="3">
        <f>SUMIFS(Лист2!$D:$D,Лист2!$A:$A,$A380,Лист2!$B:$B,$B380)</f>
        <v>345</v>
      </c>
      <c r="G380" s="3">
        <f>SUMIFS(Лист2!$E:$E,Лист2!$A:$A,$A380,Лист2!$B:$B,$B380)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>
        <f>SUMIFS(Лист2!$C:$C,Лист2!$A:$A,$A381,Лист2!$B:$B,$B381)</f>
        <v>7</v>
      </c>
      <c r="F381" s="3">
        <f>SUMIFS(Лист2!$D:$D,Лист2!$A:$A,$A381,Лист2!$B:$B,$B381)</f>
        <v>532</v>
      </c>
      <c r="G381" s="3">
        <f>SUMIFS(Лист2!$E:$E,Лист2!$A:$A,$A381,Лист2!$B:$B,$B381)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>
        <f>SUMIFS(Лист2!$C:$C,Лист2!$A:$A,$A382,Лист2!$B:$B,$B382)</f>
        <v>15</v>
      </c>
      <c r="F382" s="3">
        <f>SUMIFS(Лист2!$D:$D,Лист2!$A:$A,$A382,Лист2!$B:$B,$B382)</f>
        <v>400</v>
      </c>
      <c r="G382" s="3">
        <f>SUMIFS(Лист2!$E:$E,Лист2!$A:$A,$A382,Лист2!$B:$B,$B382)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>
        <f>SUMIFS(Лист2!$C:$C,Лист2!$A:$A,$A383,Лист2!$B:$B,$B383)</f>
        <v>7</v>
      </c>
      <c r="F383" s="3">
        <f>SUMIFS(Лист2!$D:$D,Лист2!$A:$A,$A383,Лист2!$B:$B,$B383)</f>
        <v>420</v>
      </c>
      <c r="G383" s="3">
        <f>SUMIFS(Лист2!$E:$E,Лист2!$A:$A,$A383,Лист2!$B:$B,$B383)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>
        <f>SUMIFS(Лист2!$C:$C,Лист2!$A:$A,$A384,Лист2!$B:$B,$B384)</f>
        <v>20</v>
      </c>
      <c r="F384" s="3">
        <f>SUMIFS(Лист2!$D:$D,Лист2!$A:$A,$A384,Лист2!$B:$B,$B384)</f>
        <v>2079</v>
      </c>
      <c r="G384" s="3">
        <f>SUMIFS(Лист2!$E:$E,Лист2!$A:$A,$A384,Лист2!$B:$B,$B384)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>
        <f>SUMIFS(Лист2!$C:$C,Лист2!$A:$A,$A385,Лист2!$B:$B,$B385)</f>
        <v>21</v>
      </c>
      <c r="F385" s="3">
        <f>SUMIFS(Лист2!$D:$D,Лист2!$A:$A,$A385,Лист2!$B:$B,$B385)</f>
        <v>2046</v>
      </c>
      <c r="G385" s="3">
        <f>SUMIFS(Лист2!$E:$E,Лист2!$A:$A,$A385,Лист2!$B:$B,$B385)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>
        <f>SUMIFS(Лист2!$C:$C,Лист2!$A:$A,$A386,Лист2!$B:$B,$B386)</f>
        <v>6</v>
      </c>
      <c r="F386" s="3">
        <f>SUMIFS(Лист2!$D:$D,Лист2!$A:$A,$A386,Лист2!$B:$B,$B386)</f>
        <v>261</v>
      </c>
      <c r="G386" s="3">
        <f>SUMIFS(Лист2!$E:$E,Лист2!$A:$A,$A386,Лист2!$B:$B,$B386)</f>
        <v>188</v>
      </c>
      <c r="H386">
        <f t="shared" ref="H386:H449" si="12">IFERROR(D386/E386,0)</f>
        <v>78139.25</v>
      </c>
      <c r="I386">
        <f t="shared" ref="I386:I449" si="13">WEEKNUM(A386,2)</f>
        <v>22</v>
      </c>
    </row>
    <row r="387" spans="1:9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>
        <f>SUMIFS(Лист2!$C:$C,Лист2!$A:$A,$A387,Лист2!$B:$B,$B387)</f>
        <v>21</v>
      </c>
      <c r="F387" s="3">
        <f>SUMIFS(Лист2!$D:$D,Лист2!$A:$A,$A387,Лист2!$B:$B,$B387)</f>
        <v>1597</v>
      </c>
      <c r="G387" s="3">
        <f>SUMIFS(Лист2!$E:$E,Лист2!$A:$A,$A387,Лист2!$B:$B,$B387)</f>
        <v>1457</v>
      </c>
      <c r="H387">
        <f t="shared" si="12"/>
        <v>118066.5</v>
      </c>
      <c r="I387">
        <f t="shared" si="13"/>
        <v>20</v>
      </c>
    </row>
    <row r="388" spans="1:9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>
        <f>SUMIFS(Лист2!$C:$C,Лист2!$A:$A,$A388,Лист2!$B:$B,$B388)</f>
        <v>18</v>
      </c>
      <c r="F388" s="3">
        <f>SUMIFS(Лист2!$D:$D,Лист2!$A:$A,$A388,Лист2!$B:$B,$B388)</f>
        <v>1216</v>
      </c>
      <c r="G388" s="3">
        <f>SUMIFS(Лист2!$E:$E,Лист2!$A:$A,$A388,Лист2!$B:$B,$B388)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>
        <f>SUMIFS(Лист2!$C:$C,Лист2!$A:$A,$A389,Лист2!$B:$B,$B389)</f>
        <v>18</v>
      </c>
      <c r="F389" s="3">
        <f>SUMIFS(Лист2!$D:$D,Лист2!$A:$A,$A389,Лист2!$B:$B,$B389)</f>
        <v>1020</v>
      </c>
      <c r="G389" s="3">
        <f>SUMIFS(Лист2!$E:$E,Лист2!$A:$A,$A389,Лист2!$B:$B,$B389)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>
        <f>SUMIFS(Лист2!$C:$C,Лист2!$A:$A,$A390,Лист2!$B:$B,$B390)</f>
        <v>21</v>
      </c>
      <c r="F390" s="3">
        <f>SUMIFS(Лист2!$D:$D,Лист2!$A:$A,$A390,Лист2!$B:$B,$B390)</f>
        <v>1834</v>
      </c>
      <c r="G390" s="3">
        <f>SUMIFS(Лист2!$E:$E,Лист2!$A:$A,$A390,Лист2!$B:$B,$B390)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>
        <f>SUMIFS(Лист2!$C:$C,Лист2!$A:$A,$A391,Лист2!$B:$B,$B391)</f>
        <v>21</v>
      </c>
      <c r="F391" s="3">
        <f>SUMIFS(Лист2!$D:$D,Лист2!$A:$A,$A391,Лист2!$B:$B,$B391)</f>
        <v>1706</v>
      </c>
      <c r="G391" s="3">
        <f>SUMIFS(Лист2!$E:$E,Лист2!$A:$A,$A391,Лист2!$B:$B,$B391)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>
        <f>SUMIFS(Лист2!$C:$C,Лист2!$A:$A,$A392,Лист2!$B:$B,$B392)</f>
        <v>21</v>
      </c>
      <c r="F392" s="3">
        <f>SUMIFS(Лист2!$D:$D,Лист2!$A:$A,$A392,Лист2!$B:$B,$B392)</f>
        <v>1926</v>
      </c>
      <c r="G392" s="3">
        <f>SUMIFS(Лист2!$E:$E,Лист2!$A:$A,$A392,Лист2!$B:$B,$B392)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>
        <f>SUMIFS(Лист2!$C:$C,Лист2!$A:$A,$A393,Лист2!$B:$B,$B393)</f>
        <v>21</v>
      </c>
      <c r="F393" s="3">
        <f>SUMIFS(Лист2!$D:$D,Лист2!$A:$A,$A393,Лист2!$B:$B,$B393)</f>
        <v>2025</v>
      </c>
      <c r="G393" s="3">
        <f>SUMIFS(Лист2!$E:$E,Лист2!$A:$A,$A393,Лист2!$B:$B,$B393)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>
        <f>SUMIFS(Лист2!$C:$C,Лист2!$A:$A,$A394,Лист2!$B:$B,$B394)</f>
        <v>7</v>
      </c>
      <c r="F394" s="3">
        <f>SUMIFS(Лист2!$D:$D,Лист2!$A:$A,$A394,Лист2!$B:$B,$B394)</f>
        <v>530</v>
      </c>
      <c r="G394" s="3">
        <f>SUMIFS(Лист2!$E:$E,Лист2!$A:$A,$A394,Лист2!$B:$B,$B394)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>
        <f>SUMIFS(Лист2!$C:$C,Лист2!$A:$A,$A395,Лист2!$B:$B,$B395)</f>
        <v>20</v>
      </c>
      <c r="F395" s="3">
        <f>SUMIFS(Лист2!$D:$D,Лист2!$A:$A,$A395,Лист2!$B:$B,$B395)</f>
        <v>2111</v>
      </c>
      <c r="G395" s="3">
        <f>SUMIFS(Лист2!$E:$E,Лист2!$A:$A,$A395,Лист2!$B:$B,$B395)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>
        <f>SUMIFS(Лист2!$C:$C,Лист2!$A:$A,$A396,Лист2!$B:$B,$B396)</f>
        <v>31</v>
      </c>
      <c r="F396" s="3">
        <f>SUMIFS(Лист2!$D:$D,Лист2!$A:$A,$A396,Лист2!$B:$B,$B396)</f>
        <v>5330</v>
      </c>
      <c r="G396" s="3">
        <f>SUMIFS(Лист2!$E:$E,Лист2!$A:$A,$A396,Лист2!$B:$B,$B396)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>
        <f>SUMIFS(Лист2!$C:$C,Лист2!$A:$A,$A397,Лист2!$B:$B,$B397)</f>
        <v>31</v>
      </c>
      <c r="F397" s="3">
        <f>SUMIFS(Лист2!$D:$D,Лист2!$A:$A,$A397,Лист2!$B:$B,$B397)</f>
        <v>5965</v>
      </c>
      <c r="G397" s="3">
        <f>SUMIFS(Лист2!$E:$E,Лист2!$A:$A,$A397,Лист2!$B:$B,$B397)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>
        <f>SUMIFS(Лист2!$C:$C,Лист2!$A:$A,$A398,Лист2!$B:$B,$B398)</f>
        <v>31</v>
      </c>
      <c r="F398" s="3">
        <f>SUMIFS(Лист2!$D:$D,Лист2!$A:$A,$A398,Лист2!$B:$B,$B398)</f>
        <v>5468</v>
      </c>
      <c r="G398" s="3">
        <f>SUMIFS(Лист2!$E:$E,Лист2!$A:$A,$A398,Лист2!$B:$B,$B398)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>
        <f>SUMIFS(Лист2!$C:$C,Лист2!$A:$A,$A399,Лист2!$B:$B,$B399)</f>
        <v>18</v>
      </c>
      <c r="F399" s="3">
        <f>SUMIFS(Лист2!$D:$D,Лист2!$A:$A,$A399,Лист2!$B:$B,$B399)</f>
        <v>1029</v>
      </c>
      <c r="G399" s="3">
        <f>SUMIFS(Лист2!$E:$E,Лист2!$A:$A,$A399,Лист2!$B:$B,$B399)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>
        <f>SUMIFS(Лист2!$C:$C,Лист2!$A:$A,$A400,Лист2!$B:$B,$B400)</f>
        <v>31</v>
      </c>
      <c r="F400" s="3">
        <f>SUMIFS(Лист2!$D:$D,Лист2!$A:$A,$A400,Лист2!$B:$B,$B400)</f>
        <v>4826</v>
      </c>
      <c r="G400" s="3">
        <f>SUMIFS(Лист2!$E:$E,Лист2!$A:$A,$A400,Лист2!$B:$B,$B400)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>
        <f>SUMIFS(Лист2!$C:$C,Лист2!$A:$A,$A401,Лист2!$B:$B,$B401)</f>
        <v>31</v>
      </c>
      <c r="F401" s="3">
        <f>SUMIFS(Лист2!$D:$D,Лист2!$A:$A,$A401,Лист2!$B:$B,$B401)</f>
        <v>5165</v>
      </c>
      <c r="G401" s="3">
        <f>SUMIFS(Лист2!$E:$E,Лист2!$A:$A,$A401,Лист2!$B:$B,$B401)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>
        <f>SUMIFS(Лист2!$C:$C,Лист2!$A:$A,$A402,Лист2!$B:$B,$B402)</f>
        <v>31</v>
      </c>
      <c r="F402" s="3">
        <f>SUMIFS(Лист2!$D:$D,Лист2!$A:$A,$A402,Лист2!$B:$B,$B402)</f>
        <v>4695</v>
      </c>
      <c r="G402" s="3">
        <f>SUMIFS(Лист2!$E:$E,Лист2!$A:$A,$A402,Лист2!$B:$B,$B402)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>
        <f>SUMIFS(Лист2!$C:$C,Лист2!$A:$A,$A403,Лист2!$B:$B,$B403)</f>
        <v>31</v>
      </c>
      <c r="F403" s="3">
        <f>SUMIFS(Лист2!$D:$D,Лист2!$A:$A,$A403,Лист2!$B:$B,$B403)</f>
        <v>5184</v>
      </c>
      <c r="G403" s="3">
        <f>SUMIFS(Лист2!$E:$E,Лист2!$A:$A,$A403,Лист2!$B:$B,$B403)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>
        <f>SUMIFS(Лист2!$C:$C,Лист2!$A:$A,$A404,Лист2!$B:$B,$B404)</f>
        <v>10</v>
      </c>
      <c r="F404" s="3">
        <f>SUMIFS(Лист2!$D:$D,Лист2!$A:$A,$A404,Лист2!$B:$B,$B404)</f>
        <v>757</v>
      </c>
      <c r="G404" s="3">
        <f>SUMIFS(Лист2!$E:$E,Лист2!$A:$A,$A404,Лист2!$B:$B,$B404)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>
        <f>SUMIFS(Лист2!$C:$C,Лист2!$A:$A,$A405,Лист2!$B:$B,$B405)</f>
        <v>10</v>
      </c>
      <c r="F405" s="3">
        <f>SUMIFS(Лист2!$D:$D,Лист2!$A:$A,$A405,Лист2!$B:$B,$B405)</f>
        <v>965</v>
      </c>
      <c r="G405" s="3">
        <f>SUMIFS(Лист2!$E:$E,Лист2!$A:$A,$A405,Лист2!$B:$B,$B405)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>
        <f>SUMIFS(Лист2!$C:$C,Лист2!$A:$A,$A406,Лист2!$B:$B,$B406)</f>
        <v>10</v>
      </c>
      <c r="F406" s="3">
        <f>SUMIFS(Лист2!$D:$D,Лист2!$A:$A,$A406,Лист2!$B:$B,$B406)</f>
        <v>719</v>
      </c>
      <c r="G406" s="3">
        <f>SUMIFS(Лист2!$E:$E,Лист2!$A:$A,$A406,Лист2!$B:$B,$B406)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>
        <f>SUMIFS(Лист2!$C:$C,Лист2!$A:$A,$A407,Лист2!$B:$B,$B407)</f>
        <v>10</v>
      </c>
      <c r="F407" s="3">
        <f>SUMIFS(Лист2!$D:$D,Лист2!$A:$A,$A407,Лист2!$B:$B,$B407)</f>
        <v>494</v>
      </c>
      <c r="G407" s="3">
        <f>SUMIFS(Лист2!$E:$E,Лист2!$A:$A,$A407,Лист2!$B:$B,$B407)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>
        <f>SUMIFS(Лист2!$C:$C,Лист2!$A:$A,$A408,Лист2!$B:$B,$B408)</f>
        <v>31</v>
      </c>
      <c r="F408" s="3">
        <f>SUMIFS(Лист2!$D:$D,Лист2!$A:$A,$A408,Лист2!$B:$B,$B408)</f>
        <v>5751</v>
      </c>
      <c r="G408" s="3">
        <f>SUMIFS(Лист2!$E:$E,Лист2!$A:$A,$A408,Лист2!$B:$B,$B408)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>
        <f>SUMIFS(Лист2!$C:$C,Лист2!$A:$A,$A409,Лист2!$B:$B,$B409)</f>
        <v>10</v>
      </c>
      <c r="F409" s="3">
        <f>SUMIFS(Лист2!$D:$D,Лист2!$A:$A,$A409,Лист2!$B:$B,$B409)</f>
        <v>645</v>
      </c>
      <c r="G409" s="3">
        <f>SUMIFS(Лист2!$E:$E,Лист2!$A:$A,$A409,Лист2!$B:$B,$B409)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>
        <f>SUMIFS(Лист2!$C:$C,Лист2!$A:$A,$A410,Лист2!$B:$B,$B410)</f>
        <v>10</v>
      </c>
      <c r="F410" s="3">
        <f>SUMIFS(Лист2!$D:$D,Лист2!$A:$A,$A410,Лист2!$B:$B,$B410)</f>
        <v>627</v>
      </c>
      <c r="G410" s="3">
        <f>SUMIFS(Лист2!$E:$E,Лист2!$A:$A,$A410,Лист2!$B:$B,$B410)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>
        <f>SUMIFS(Лист2!$C:$C,Лист2!$A:$A,$A411,Лист2!$B:$B,$B411)</f>
        <v>10</v>
      </c>
      <c r="F411" s="3">
        <f>SUMIFS(Лист2!$D:$D,Лист2!$A:$A,$A411,Лист2!$B:$B,$B411)</f>
        <v>743</v>
      </c>
      <c r="G411" s="3">
        <f>SUMIFS(Лист2!$E:$E,Лист2!$A:$A,$A411,Лист2!$B:$B,$B411)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>
        <f>SUMIFS(Лист2!$C:$C,Лист2!$A:$A,$A412,Лист2!$B:$B,$B412)</f>
        <v>10</v>
      </c>
      <c r="F412" s="3">
        <f>SUMIFS(Лист2!$D:$D,Лист2!$A:$A,$A412,Лист2!$B:$B,$B412)</f>
        <v>873</v>
      </c>
      <c r="G412" s="3">
        <f>SUMIFS(Лист2!$E:$E,Лист2!$A:$A,$A412,Лист2!$B:$B,$B412)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>
        <f>SUMIFS(Лист2!$C:$C,Лист2!$A:$A,$A413,Лист2!$B:$B,$B413)</f>
        <v>20</v>
      </c>
      <c r="F413" s="3">
        <f>SUMIFS(Лист2!$D:$D,Лист2!$A:$A,$A413,Лист2!$B:$B,$B413)</f>
        <v>2079</v>
      </c>
      <c r="G413" s="3">
        <f>SUMIFS(Лист2!$E:$E,Лист2!$A:$A,$A413,Лист2!$B:$B,$B413)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>
        <f>SUMIFS(Лист2!$C:$C,Лист2!$A:$A,$A414,Лист2!$B:$B,$B414)</f>
        <v>20</v>
      </c>
      <c r="F414" s="3">
        <f>SUMIFS(Лист2!$D:$D,Лист2!$A:$A,$A414,Лист2!$B:$B,$B414)</f>
        <v>2306</v>
      </c>
      <c r="G414" s="3">
        <f>SUMIFS(Лист2!$E:$E,Лист2!$A:$A,$A414,Лист2!$B:$B,$B414)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>
        <f>SUMIFS(Лист2!$C:$C,Лист2!$A:$A,$A415,Лист2!$B:$B,$B415)</f>
        <v>20</v>
      </c>
      <c r="F415" s="3">
        <f>SUMIFS(Лист2!$D:$D,Лист2!$A:$A,$A415,Лист2!$B:$B,$B415)</f>
        <v>2136</v>
      </c>
      <c r="G415" s="3">
        <f>SUMIFS(Лист2!$E:$E,Лист2!$A:$A,$A415,Лист2!$B:$B,$B415)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>
        <f>SUMIFS(Лист2!$C:$C,Лист2!$A:$A,$A416,Лист2!$B:$B,$B416)</f>
        <v>19</v>
      </c>
      <c r="F416" s="3">
        <f>SUMIFS(Лист2!$D:$D,Лист2!$A:$A,$A416,Лист2!$B:$B,$B416)</f>
        <v>2530</v>
      </c>
      <c r="G416" s="3">
        <f>SUMIFS(Лист2!$E:$E,Лист2!$A:$A,$A416,Лист2!$B:$B,$B416)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>
        <f>SUMIFS(Лист2!$C:$C,Лист2!$A:$A,$A417,Лист2!$B:$B,$B417)</f>
        <v>19</v>
      </c>
      <c r="F417" s="3">
        <f>SUMIFS(Лист2!$D:$D,Лист2!$A:$A,$A417,Лист2!$B:$B,$B417)</f>
        <v>1858</v>
      </c>
      <c r="G417" s="3">
        <f>SUMIFS(Лист2!$E:$E,Лист2!$A:$A,$A417,Лист2!$B:$B,$B417)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>
        <f>SUMIFS(Лист2!$C:$C,Лист2!$A:$A,$A418,Лист2!$B:$B,$B418)</f>
        <v>19</v>
      </c>
      <c r="F418" s="3">
        <f>SUMIFS(Лист2!$D:$D,Лист2!$A:$A,$A418,Лист2!$B:$B,$B418)</f>
        <v>1675</v>
      </c>
      <c r="G418" s="3">
        <f>SUMIFS(Лист2!$E:$E,Лист2!$A:$A,$A418,Лист2!$B:$B,$B418)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>
        <f>SUMIFS(Лист2!$C:$C,Лист2!$A:$A,$A419,Лист2!$B:$B,$B419)</f>
        <v>19</v>
      </c>
      <c r="F419" s="3">
        <f>SUMIFS(Лист2!$D:$D,Лист2!$A:$A,$A419,Лист2!$B:$B,$B419)</f>
        <v>1940</v>
      </c>
      <c r="G419" s="3">
        <f>SUMIFS(Лист2!$E:$E,Лист2!$A:$A,$A419,Лист2!$B:$B,$B419)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>
        <f>SUMIFS(Лист2!$C:$C,Лист2!$A:$A,$A420,Лист2!$B:$B,$B420)</f>
        <v>20</v>
      </c>
      <c r="F420" s="3">
        <f>SUMIFS(Лист2!$D:$D,Лист2!$A:$A,$A420,Лист2!$B:$B,$B420)</f>
        <v>2249</v>
      </c>
      <c r="G420" s="3">
        <f>SUMIFS(Лист2!$E:$E,Лист2!$A:$A,$A420,Лист2!$B:$B,$B420)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>
        <f>SUMIFS(Лист2!$C:$C,Лист2!$A:$A,$A421,Лист2!$B:$B,$B421)</f>
        <v>129</v>
      </c>
      <c r="F421" s="3">
        <f>SUMIFS(Лист2!$D:$D,Лист2!$A:$A,$A421,Лист2!$B:$B,$B421)</f>
        <v>17115</v>
      </c>
      <c r="G421" s="3">
        <f>SUMIFS(Лист2!$E:$E,Лист2!$A:$A,$A421,Лист2!$B:$B,$B421)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>
        <f>SUMIFS(Лист2!$C:$C,Лист2!$A:$A,$A422,Лист2!$B:$B,$B422)</f>
        <v>129</v>
      </c>
      <c r="F422" s="3">
        <f>SUMIFS(Лист2!$D:$D,Лист2!$A:$A,$A422,Лист2!$B:$B,$B422)</f>
        <v>17088</v>
      </c>
      <c r="G422" s="3">
        <f>SUMIFS(Лист2!$E:$E,Лист2!$A:$A,$A422,Лист2!$B:$B,$B422)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>
        <f>SUMIFS(Лист2!$C:$C,Лист2!$A:$A,$A423,Лист2!$B:$B,$B423)</f>
        <v>128</v>
      </c>
      <c r="F423" s="3">
        <f>SUMIFS(Лист2!$D:$D,Лист2!$A:$A,$A423,Лист2!$B:$B,$B423)</f>
        <v>16285</v>
      </c>
      <c r="G423" s="3">
        <f>SUMIFS(Лист2!$E:$E,Лист2!$A:$A,$A423,Лист2!$B:$B,$B423)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>
        <f>SUMIFS(Лист2!$C:$C,Лист2!$A:$A,$A424,Лист2!$B:$B,$B424)</f>
        <v>129</v>
      </c>
      <c r="F424" s="3">
        <f>SUMIFS(Лист2!$D:$D,Лист2!$A:$A,$A424,Лист2!$B:$B,$B424)</f>
        <v>14043</v>
      </c>
      <c r="G424" s="3">
        <f>SUMIFS(Лист2!$E:$E,Лист2!$A:$A,$A424,Лист2!$B:$B,$B424)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>
        <f>SUMIFS(Лист2!$C:$C,Лист2!$A:$A,$A425,Лист2!$B:$B,$B425)</f>
        <v>129</v>
      </c>
      <c r="F425" s="3">
        <f>SUMIFS(Лист2!$D:$D,Лист2!$A:$A,$A425,Лист2!$B:$B,$B425)</f>
        <v>16110</v>
      </c>
      <c r="G425" s="3">
        <f>SUMIFS(Лист2!$E:$E,Лист2!$A:$A,$A425,Лист2!$B:$B,$B425)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>
        <f>SUMIFS(Лист2!$C:$C,Лист2!$A:$A,$A426,Лист2!$B:$B,$B426)</f>
        <v>129</v>
      </c>
      <c r="F426" s="3">
        <f>SUMIFS(Лист2!$D:$D,Лист2!$A:$A,$A426,Лист2!$B:$B,$B426)</f>
        <v>15804</v>
      </c>
      <c r="G426" s="3">
        <f>SUMIFS(Лист2!$E:$E,Лист2!$A:$A,$A426,Лист2!$B:$B,$B426)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>
        <f>SUMIFS(Лист2!$C:$C,Лист2!$A:$A,$A427,Лист2!$B:$B,$B427)</f>
        <v>129</v>
      </c>
      <c r="F427" s="3">
        <f>SUMIFS(Лист2!$D:$D,Лист2!$A:$A,$A427,Лист2!$B:$B,$B427)</f>
        <v>17808</v>
      </c>
      <c r="G427" s="3">
        <f>SUMIFS(Лист2!$E:$E,Лист2!$A:$A,$A427,Лист2!$B:$B,$B427)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>
        <f>SUMIFS(Лист2!$C:$C,Лист2!$A:$A,$A428,Лист2!$B:$B,$B428)</f>
        <v>124</v>
      </c>
      <c r="F428" s="3">
        <f>SUMIFS(Лист2!$D:$D,Лист2!$A:$A,$A428,Лист2!$B:$B,$B428)</f>
        <v>21384</v>
      </c>
      <c r="G428" s="3">
        <f>SUMIFS(Лист2!$E:$E,Лист2!$A:$A,$A428,Лист2!$B:$B,$B428)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>
        <f>SUMIFS(Лист2!$C:$C,Лист2!$A:$A,$A429,Лист2!$B:$B,$B429)</f>
        <v>125</v>
      </c>
      <c r="F429" s="3">
        <f>SUMIFS(Лист2!$D:$D,Лист2!$A:$A,$A429,Лист2!$B:$B,$B429)</f>
        <v>21427</v>
      </c>
      <c r="G429" s="3">
        <f>SUMIFS(Лист2!$E:$E,Лист2!$A:$A,$A429,Лист2!$B:$B,$B429)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>
        <f>SUMIFS(Лист2!$C:$C,Лист2!$A:$A,$A430,Лист2!$B:$B,$B430)</f>
        <v>123</v>
      </c>
      <c r="F430" s="3">
        <f>SUMIFS(Лист2!$D:$D,Лист2!$A:$A,$A430,Лист2!$B:$B,$B430)</f>
        <v>20325</v>
      </c>
      <c r="G430" s="3">
        <f>SUMIFS(Лист2!$E:$E,Лист2!$A:$A,$A430,Лист2!$B:$B,$B430)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>
        <f>SUMIFS(Лист2!$C:$C,Лист2!$A:$A,$A431,Лист2!$B:$B,$B431)</f>
        <v>125</v>
      </c>
      <c r="F431" s="3">
        <f>SUMIFS(Лист2!$D:$D,Лист2!$A:$A,$A431,Лист2!$B:$B,$B431)</f>
        <v>18066</v>
      </c>
      <c r="G431" s="3">
        <f>SUMIFS(Лист2!$E:$E,Лист2!$A:$A,$A431,Лист2!$B:$B,$B431)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>
        <f>SUMIFS(Лист2!$C:$C,Лист2!$A:$A,$A432,Лист2!$B:$B,$B432)</f>
        <v>129</v>
      </c>
      <c r="F432" s="3">
        <f>SUMIFS(Лист2!$D:$D,Лист2!$A:$A,$A432,Лист2!$B:$B,$B432)</f>
        <v>22403</v>
      </c>
      <c r="G432" s="3">
        <f>SUMIFS(Лист2!$E:$E,Лист2!$A:$A,$A432,Лист2!$B:$B,$B432)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>
        <f>SUMIFS(Лист2!$C:$C,Лист2!$A:$A,$A433,Лист2!$B:$B,$B433)</f>
        <v>125</v>
      </c>
      <c r="F433" s="3">
        <f>SUMIFS(Лист2!$D:$D,Лист2!$A:$A,$A433,Лист2!$B:$B,$B433)</f>
        <v>20449</v>
      </c>
      <c r="G433" s="3">
        <f>SUMIFS(Лист2!$E:$E,Лист2!$A:$A,$A433,Лист2!$B:$B,$B433)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>
        <f>SUMIFS(Лист2!$C:$C,Лист2!$A:$A,$A434,Лист2!$B:$B,$B434)</f>
        <v>125</v>
      </c>
      <c r="F434" s="3">
        <f>SUMIFS(Лист2!$D:$D,Лист2!$A:$A,$A434,Лист2!$B:$B,$B434)</f>
        <v>20247</v>
      </c>
      <c r="G434" s="3">
        <f>SUMIFS(Лист2!$E:$E,Лист2!$A:$A,$A434,Лист2!$B:$B,$B434)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>
        <f>SUMIFS(Лист2!$C:$C,Лист2!$A:$A,$A435,Лист2!$B:$B,$B435)</f>
        <v>125</v>
      </c>
      <c r="F435" s="3">
        <f>SUMIFS(Лист2!$D:$D,Лист2!$A:$A,$A435,Лист2!$B:$B,$B435)</f>
        <v>21862</v>
      </c>
      <c r="G435" s="3">
        <f>SUMIFS(Лист2!$E:$E,Лист2!$A:$A,$A435,Лист2!$B:$B,$B435)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>
        <f>SUMIFS(Лист2!$C:$C,Лист2!$A:$A,$A436,Лист2!$B:$B,$B436)</f>
        <v>36</v>
      </c>
      <c r="F436" s="3">
        <f>SUMIFS(Лист2!$D:$D,Лист2!$A:$A,$A436,Лист2!$B:$B,$B436)</f>
        <v>4951</v>
      </c>
      <c r="G436" s="3">
        <f>SUMIFS(Лист2!$E:$E,Лист2!$A:$A,$A436,Лист2!$B:$B,$B436)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>
        <f>SUMIFS(Лист2!$C:$C,Лист2!$A:$A,$A437,Лист2!$B:$B,$B437)</f>
        <v>36</v>
      </c>
      <c r="F437" s="3">
        <f>SUMIFS(Лист2!$D:$D,Лист2!$A:$A,$A437,Лист2!$B:$B,$B437)</f>
        <v>4857</v>
      </c>
      <c r="G437" s="3">
        <f>SUMIFS(Лист2!$E:$E,Лист2!$A:$A,$A437,Лист2!$B:$B,$B437)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>
        <f>SUMIFS(Лист2!$C:$C,Лист2!$A:$A,$A438,Лист2!$B:$B,$B438)</f>
        <v>37</v>
      </c>
      <c r="F438" s="3">
        <f>SUMIFS(Лист2!$D:$D,Лист2!$A:$A,$A438,Лист2!$B:$B,$B438)</f>
        <v>4722</v>
      </c>
      <c r="G438" s="3">
        <f>SUMIFS(Лист2!$E:$E,Лист2!$A:$A,$A438,Лист2!$B:$B,$B438)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>
        <f>SUMIFS(Лист2!$C:$C,Лист2!$A:$A,$A439,Лист2!$B:$B,$B439)</f>
        <v>36</v>
      </c>
      <c r="F439" s="3">
        <f>SUMIFS(Лист2!$D:$D,Лист2!$A:$A,$A439,Лист2!$B:$B,$B439)</f>
        <v>4150</v>
      </c>
      <c r="G439" s="3">
        <f>SUMIFS(Лист2!$E:$E,Лист2!$A:$A,$A439,Лист2!$B:$B,$B439)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>
        <f>SUMIFS(Лист2!$C:$C,Лист2!$A:$A,$A440,Лист2!$B:$B,$B440)</f>
        <v>124</v>
      </c>
      <c r="F440" s="3">
        <f>SUMIFS(Лист2!$D:$D,Лист2!$A:$A,$A440,Лист2!$B:$B,$B440)</f>
        <v>25828</v>
      </c>
      <c r="G440" s="3">
        <f>SUMIFS(Лист2!$E:$E,Лист2!$A:$A,$A440,Лист2!$B:$B,$B440)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>
        <f>SUMIFS(Лист2!$C:$C,Лист2!$A:$A,$A441,Лист2!$B:$B,$B441)</f>
        <v>36</v>
      </c>
      <c r="F441" s="3">
        <f>SUMIFS(Лист2!$D:$D,Лист2!$A:$A,$A441,Лист2!$B:$B,$B441)</f>
        <v>4885</v>
      </c>
      <c r="G441" s="3">
        <f>SUMIFS(Лист2!$E:$E,Лист2!$A:$A,$A441,Лист2!$B:$B,$B441)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>
        <f>SUMIFS(Лист2!$C:$C,Лист2!$A:$A,$A442,Лист2!$B:$B,$B442)</f>
        <v>36</v>
      </c>
      <c r="F442" s="3">
        <f>SUMIFS(Лист2!$D:$D,Лист2!$A:$A,$A442,Лист2!$B:$B,$B442)</f>
        <v>4285</v>
      </c>
      <c r="G442" s="3">
        <f>SUMIFS(Лист2!$E:$E,Лист2!$A:$A,$A442,Лист2!$B:$B,$B442)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>
        <f>SUMIFS(Лист2!$C:$C,Лист2!$A:$A,$A443,Лист2!$B:$B,$B443)</f>
        <v>36</v>
      </c>
      <c r="F443" s="3">
        <f>SUMIFS(Лист2!$D:$D,Лист2!$A:$A,$A443,Лист2!$B:$B,$B443)</f>
        <v>4862</v>
      </c>
      <c r="G443" s="3">
        <f>SUMIFS(Лист2!$E:$E,Лист2!$A:$A,$A443,Лист2!$B:$B,$B443)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>
        <f>SUMIFS(Лист2!$C:$C,Лист2!$A:$A,$A444,Лист2!$B:$B,$B444)</f>
        <v>21</v>
      </c>
      <c r="F444" s="3">
        <f>SUMIFS(Лист2!$D:$D,Лист2!$A:$A,$A444,Лист2!$B:$B,$B444)</f>
        <v>2430</v>
      </c>
      <c r="G444" s="3">
        <f>SUMIFS(Лист2!$E:$E,Лист2!$A:$A,$A444,Лист2!$B:$B,$B444)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>
        <f>SUMIFS(Лист2!$C:$C,Лист2!$A:$A,$A445,Лист2!$B:$B,$B445)</f>
        <v>21</v>
      </c>
      <c r="F445" s="3">
        <f>SUMIFS(Лист2!$D:$D,Лист2!$A:$A,$A445,Лист2!$B:$B,$B445)</f>
        <v>2861</v>
      </c>
      <c r="G445" s="3">
        <f>SUMIFS(Лист2!$E:$E,Лист2!$A:$A,$A445,Лист2!$B:$B,$B445)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>
        <f>SUMIFS(Лист2!$C:$C,Лист2!$A:$A,$A446,Лист2!$B:$B,$B446)</f>
        <v>23</v>
      </c>
      <c r="F446" s="3">
        <f>SUMIFS(Лист2!$D:$D,Лист2!$A:$A,$A446,Лист2!$B:$B,$B446)</f>
        <v>2531</v>
      </c>
      <c r="G446" s="3">
        <f>SUMIFS(Лист2!$E:$E,Лист2!$A:$A,$A446,Лист2!$B:$B,$B446)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>
        <f>SUMIFS(Лист2!$C:$C,Лист2!$A:$A,$A447,Лист2!$B:$B,$B447)</f>
        <v>21</v>
      </c>
      <c r="F447" s="3">
        <f>SUMIFS(Лист2!$D:$D,Лист2!$A:$A,$A447,Лист2!$B:$B,$B447)</f>
        <v>1916</v>
      </c>
      <c r="G447" s="3">
        <f>SUMIFS(Лист2!$E:$E,Лист2!$A:$A,$A447,Лист2!$B:$B,$B447)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>
        <f>SUMIFS(Лист2!$C:$C,Лист2!$A:$A,$A448,Лист2!$B:$B,$B448)</f>
        <v>37</v>
      </c>
      <c r="F448" s="3">
        <f>SUMIFS(Лист2!$D:$D,Лист2!$A:$A,$A448,Лист2!$B:$B,$B448)</f>
        <v>5672</v>
      </c>
      <c r="G448" s="3">
        <f>SUMIFS(Лист2!$E:$E,Лист2!$A:$A,$A448,Лист2!$B:$B,$B448)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>
        <f>SUMIFS(Лист2!$C:$C,Лист2!$A:$A,$A449,Лист2!$B:$B,$B449)</f>
        <v>21</v>
      </c>
      <c r="F449" s="3">
        <f>SUMIFS(Лист2!$D:$D,Лист2!$A:$A,$A449,Лист2!$B:$B,$B449)</f>
        <v>2136</v>
      </c>
      <c r="G449" s="3">
        <f>SUMIFS(Лист2!$E:$E,Лист2!$A:$A,$A449,Лист2!$B:$B,$B449)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>
        <f>SUMIFS(Лист2!$C:$C,Лист2!$A:$A,$A450,Лист2!$B:$B,$B450)</f>
        <v>21</v>
      </c>
      <c r="F450" s="3">
        <f>SUMIFS(Лист2!$D:$D,Лист2!$A:$A,$A450,Лист2!$B:$B,$B450)</f>
        <v>1993</v>
      </c>
      <c r="G450" s="3">
        <f>SUMIFS(Лист2!$E:$E,Лист2!$A:$A,$A450,Лист2!$B:$B,$B450)</f>
        <v>1796</v>
      </c>
      <c r="H450">
        <f t="shared" ref="H450:H505" si="14">IFERROR(D450/E450,0)</f>
        <v>150784.71428571429</v>
      </c>
      <c r="I450">
        <f t="shared" ref="I450:I505" si="15">WEEKNUM(A450,2)</f>
        <v>20</v>
      </c>
    </row>
    <row r="451" spans="1:9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>
        <f>SUMIFS(Лист2!$C:$C,Лист2!$A:$A,$A451,Лист2!$B:$B,$B451)</f>
        <v>21</v>
      </c>
      <c r="F451" s="3">
        <f>SUMIFS(Лист2!$D:$D,Лист2!$A:$A,$A451,Лист2!$B:$B,$B451)</f>
        <v>2255</v>
      </c>
      <c r="G451" s="3">
        <f>SUMIFS(Лист2!$E:$E,Лист2!$A:$A,$A451,Лист2!$B:$B,$B451)</f>
        <v>2045</v>
      </c>
      <c r="H451">
        <f t="shared" si="14"/>
        <v>179631.35714285713</v>
      </c>
      <c r="I451">
        <f t="shared" si="15"/>
        <v>20</v>
      </c>
    </row>
    <row r="452" spans="1:9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>
        <f>SUMIFS(Лист2!$C:$C,Лист2!$A:$A,$A452,Лист2!$B:$B,$B452)</f>
        <v>22</v>
      </c>
      <c r="F452" s="3">
        <f>SUMIFS(Лист2!$D:$D,Лист2!$A:$A,$A452,Лист2!$B:$B,$B452)</f>
        <v>2597</v>
      </c>
      <c r="G452" s="3">
        <f>SUMIFS(Лист2!$E:$E,Лист2!$A:$A,$A452,Лист2!$B:$B,$B452)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>
        <f>SUMIFS(Лист2!$C:$C,Лист2!$A:$A,$A453,Лист2!$B:$B,$B453)</f>
        <v>17</v>
      </c>
      <c r="F453" s="3">
        <f>SUMIFS(Лист2!$D:$D,Лист2!$A:$A,$A453,Лист2!$B:$B,$B453)</f>
        <v>1203</v>
      </c>
      <c r="G453" s="3">
        <f>SUMIFS(Лист2!$E:$E,Лист2!$A:$A,$A453,Лист2!$B:$B,$B453)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>
        <f>SUMIFS(Лист2!$C:$C,Лист2!$A:$A,$A454,Лист2!$B:$B,$B454)</f>
        <v>17</v>
      </c>
      <c r="F454" s="3">
        <f>SUMIFS(Лист2!$D:$D,Лист2!$A:$A,$A454,Лист2!$B:$B,$B454)</f>
        <v>1268</v>
      </c>
      <c r="G454" s="3">
        <f>SUMIFS(Лист2!$E:$E,Лист2!$A:$A,$A454,Лист2!$B:$B,$B454)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>
        <f>SUMIFS(Лист2!$C:$C,Лист2!$A:$A,$A455,Лист2!$B:$B,$B455)</f>
        <v>17</v>
      </c>
      <c r="F455" s="3">
        <f>SUMIFS(Лист2!$D:$D,Лист2!$A:$A,$A455,Лист2!$B:$B,$B455)</f>
        <v>1185</v>
      </c>
      <c r="G455" s="3">
        <f>SUMIFS(Лист2!$E:$E,Лист2!$A:$A,$A455,Лист2!$B:$B,$B455)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>
        <f>SUMIFS(Лист2!$C:$C,Лист2!$A:$A,$A456,Лист2!$B:$B,$B456)</f>
        <v>15</v>
      </c>
      <c r="F456" s="3">
        <f>SUMIFS(Лист2!$D:$D,Лист2!$A:$A,$A456,Лист2!$B:$B,$B456)</f>
        <v>812</v>
      </c>
      <c r="G456" s="3">
        <f>SUMIFS(Лист2!$E:$E,Лист2!$A:$A,$A456,Лист2!$B:$B,$B456)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>
        <f>SUMIFS(Лист2!$C:$C,Лист2!$A:$A,$A457,Лист2!$B:$B,$B457)</f>
        <v>16</v>
      </c>
      <c r="F457" s="3">
        <f>SUMIFS(Лист2!$D:$D,Лист2!$A:$A,$A457,Лист2!$B:$B,$B457)</f>
        <v>925</v>
      </c>
      <c r="G457" s="3">
        <f>SUMIFS(Лист2!$E:$E,Лист2!$A:$A,$A457,Лист2!$B:$B,$B457)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>
        <f>SUMIFS(Лист2!$C:$C,Лист2!$A:$A,$A458,Лист2!$B:$B,$B458)</f>
        <v>15</v>
      </c>
      <c r="F458" s="3">
        <f>SUMIFS(Лист2!$D:$D,Лист2!$A:$A,$A458,Лист2!$B:$B,$B458)</f>
        <v>890</v>
      </c>
      <c r="G458" s="3">
        <f>SUMIFS(Лист2!$E:$E,Лист2!$A:$A,$A458,Лист2!$B:$B,$B458)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>
        <f>SUMIFS(Лист2!$C:$C,Лист2!$A:$A,$A459,Лист2!$B:$B,$B459)</f>
        <v>15</v>
      </c>
      <c r="F459" s="3">
        <f>SUMIFS(Лист2!$D:$D,Лист2!$A:$A,$A459,Лист2!$B:$B,$B459)</f>
        <v>980</v>
      </c>
      <c r="G459" s="3">
        <f>SUMIFS(Лист2!$E:$E,Лист2!$A:$A,$A459,Лист2!$B:$B,$B459)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>
        <f>SUMIFS(Лист2!$C:$C,Лист2!$A:$A,$A460,Лист2!$B:$B,$B460)</f>
        <v>15</v>
      </c>
      <c r="F460" s="3">
        <f>SUMIFS(Лист2!$D:$D,Лист2!$A:$A,$A460,Лист2!$B:$B,$B460)</f>
        <v>809</v>
      </c>
      <c r="G460" s="3">
        <f>SUMIFS(Лист2!$E:$E,Лист2!$A:$A,$A460,Лист2!$B:$B,$B460)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>
        <f>SUMIFS(Лист2!$C:$C,Лист2!$A:$A,$A461,Лист2!$B:$B,$B461)</f>
        <v>15</v>
      </c>
      <c r="F461" s="3">
        <f>SUMIFS(Лист2!$D:$D,Лист2!$A:$A,$A461,Лист2!$B:$B,$B461)</f>
        <v>903</v>
      </c>
      <c r="G461" s="3">
        <f>SUMIFS(Лист2!$E:$E,Лист2!$A:$A,$A461,Лист2!$B:$B,$B461)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>
        <f>SUMIFS(Лист2!$C:$C,Лист2!$A:$A,$A462,Лист2!$B:$B,$B462)</f>
        <v>16</v>
      </c>
      <c r="F462" s="3">
        <f>SUMIFS(Лист2!$D:$D,Лист2!$A:$A,$A462,Лист2!$B:$B,$B462)</f>
        <v>1019</v>
      </c>
      <c r="G462" s="3">
        <f>SUMIFS(Лист2!$E:$E,Лист2!$A:$A,$A462,Лист2!$B:$B,$B462)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>
        <f>SUMIFS(Лист2!$C:$C,Лист2!$A:$A,$A463,Лист2!$B:$B,$B463)</f>
        <v>15</v>
      </c>
      <c r="F463" s="3">
        <f>SUMIFS(Лист2!$D:$D,Лист2!$A:$A,$A463,Лист2!$B:$B,$B463)</f>
        <v>684</v>
      </c>
      <c r="G463" s="3">
        <f>SUMIFS(Лист2!$E:$E,Лист2!$A:$A,$A463,Лист2!$B:$B,$B463)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>
        <f>SUMIFS(Лист2!$C:$C,Лист2!$A:$A,$A464,Лист2!$B:$B,$B464)</f>
        <v>17</v>
      </c>
      <c r="F464" s="3">
        <f>SUMIFS(Лист2!$D:$D,Лист2!$A:$A,$A464,Лист2!$B:$B,$B464)</f>
        <v>1296</v>
      </c>
      <c r="G464" s="3">
        <f>SUMIFS(Лист2!$E:$E,Лист2!$A:$A,$A464,Лист2!$B:$B,$B464)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>
        <f>SUMIFS(Лист2!$C:$C,Лист2!$A:$A,$A465,Лист2!$B:$B,$B465)</f>
        <v>15</v>
      </c>
      <c r="F465" s="3">
        <f>SUMIFS(Лист2!$D:$D,Лист2!$A:$A,$A465,Лист2!$B:$B,$B465)</f>
        <v>729</v>
      </c>
      <c r="G465" s="3">
        <f>SUMIFS(Лист2!$E:$E,Лист2!$A:$A,$A465,Лист2!$B:$B,$B465)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>
        <f>SUMIFS(Лист2!$C:$C,Лист2!$A:$A,$A466,Лист2!$B:$B,$B466)</f>
        <v>15</v>
      </c>
      <c r="F466" s="3">
        <f>SUMIFS(Лист2!$D:$D,Лист2!$A:$A,$A466,Лист2!$B:$B,$B466)</f>
        <v>638</v>
      </c>
      <c r="G466" s="3">
        <f>SUMIFS(Лист2!$E:$E,Лист2!$A:$A,$A466,Лист2!$B:$B,$B466)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>
        <f>SUMIFS(Лист2!$C:$C,Лист2!$A:$A,$A467,Лист2!$B:$B,$B467)</f>
        <v>15</v>
      </c>
      <c r="F467" s="3">
        <f>SUMIFS(Лист2!$D:$D,Лист2!$A:$A,$A467,Лист2!$B:$B,$B467)</f>
        <v>688</v>
      </c>
      <c r="G467" s="3">
        <f>SUMIFS(Лист2!$E:$E,Лист2!$A:$A,$A467,Лист2!$B:$B,$B467)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>
        <f>SUMIFS(Лист2!$C:$C,Лист2!$A:$A,$A468,Лист2!$B:$B,$B468)</f>
        <v>20</v>
      </c>
      <c r="F468" s="3">
        <f>SUMIFS(Лист2!$D:$D,Лист2!$A:$A,$A468,Лист2!$B:$B,$B468)</f>
        <v>1873</v>
      </c>
      <c r="G468" s="3">
        <f>SUMIFS(Лист2!$E:$E,Лист2!$A:$A,$A468,Лист2!$B:$B,$B468)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>
        <f>SUMIFS(Лист2!$C:$C,Лист2!$A:$A,$A469,Лист2!$B:$B,$B469)</f>
        <v>19</v>
      </c>
      <c r="F469" s="3">
        <f>SUMIFS(Лист2!$D:$D,Лист2!$A:$A,$A469,Лист2!$B:$B,$B469)</f>
        <v>1859</v>
      </c>
      <c r="G469" s="3">
        <f>SUMIFS(Лист2!$E:$E,Лист2!$A:$A,$A469,Лист2!$B:$B,$B469)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>
        <f>SUMIFS(Лист2!$C:$C,Лист2!$A:$A,$A470,Лист2!$B:$B,$B470)</f>
        <v>21</v>
      </c>
      <c r="F470" s="3">
        <f>SUMIFS(Лист2!$D:$D,Лист2!$A:$A,$A470,Лист2!$B:$B,$B470)</f>
        <v>1879</v>
      </c>
      <c r="G470" s="3">
        <f>SUMIFS(Лист2!$E:$E,Лист2!$A:$A,$A470,Лист2!$B:$B,$B470)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>
        <f>SUMIFS(Лист2!$C:$C,Лист2!$A:$A,$A471,Лист2!$B:$B,$B471)</f>
        <v>19</v>
      </c>
      <c r="F471" s="3">
        <f>SUMIFS(Лист2!$D:$D,Лист2!$A:$A,$A471,Лист2!$B:$B,$B471)</f>
        <v>1527</v>
      </c>
      <c r="G471" s="3">
        <f>SUMIFS(Лист2!$E:$E,Лист2!$A:$A,$A471,Лист2!$B:$B,$B471)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>
        <f>SUMIFS(Лист2!$C:$C,Лист2!$A:$A,$A472,Лист2!$B:$B,$B472)</f>
        <v>16</v>
      </c>
      <c r="F472" s="3">
        <f>SUMIFS(Лист2!$D:$D,Лист2!$A:$A,$A472,Лист2!$B:$B,$B472)</f>
        <v>981</v>
      </c>
      <c r="G472" s="3">
        <f>SUMIFS(Лист2!$E:$E,Лист2!$A:$A,$A472,Лист2!$B:$B,$B472)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>
        <f>SUMIFS(Лист2!$C:$C,Лист2!$A:$A,$A473,Лист2!$B:$B,$B473)</f>
        <v>19</v>
      </c>
      <c r="F473" s="3">
        <f>SUMIFS(Лист2!$D:$D,Лист2!$A:$A,$A473,Лист2!$B:$B,$B473)</f>
        <v>1741</v>
      </c>
      <c r="G473" s="3">
        <f>SUMIFS(Лист2!$E:$E,Лист2!$A:$A,$A473,Лист2!$B:$B,$B473)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>
        <f>SUMIFS(Лист2!$C:$C,Лист2!$A:$A,$A474,Лист2!$B:$B,$B474)</f>
        <v>19</v>
      </c>
      <c r="F474" s="3">
        <f>SUMIFS(Лист2!$D:$D,Лист2!$A:$A,$A474,Лист2!$B:$B,$B474)</f>
        <v>1635</v>
      </c>
      <c r="G474" s="3">
        <f>SUMIFS(Лист2!$E:$E,Лист2!$A:$A,$A474,Лист2!$B:$B,$B474)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>
        <f>SUMIFS(Лист2!$C:$C,Лист2!$A:$A,$A475,Лист2!$B:$B,$B475)</f>
        <v>19</v>
      </c>
      <c r="F475" s="3">
        <f>SUMIFS(Лист2!$D:$D,Лист2!$A:$A,$A475,Лист2!$B:$B,$B475)</f>
        <v>1780</v>
      </c>
      <c r="G475" s="3">
        <f>SUMIFS(Лист2!$E:$E,Лист2!$A:$A,$A475,Лист2!$B:$B,$B475)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>
        <f>SUMIFS(Лист2!$C:$C,Лист2!$A:$A,$A476,Лист2!$B:$B,$B476)</f>
        <v>20</v>
      </c>
      <c r="F476" s="3">
        <f>SUMIFS(Лист2!$D:$D,Лист2!$A:$A,$A476,Лист2!$B:$B,$B476)</f>
        <v>2064</v>
      </c>
      <c r="G476" s="3">
        <f>SUMIFS(Лист2!$E:$E,Лист2!$A:$A,$A476,Лист2!$B:$B,$B476)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>
        <f>SUMIFS(Лист2!$C:$C,Лист2!$A:$A,$A477,Лист2!$B:$B,$B477)</f>
        <v>59</v>
      </c>
      <c r="F477" s="3">
        <f>SUMIFS(Лист2!$D:$D,Лист2!$A:$A,$A477,Лист2!$B:$B,$B477)</f>
        <v>13942</v>
      </c>
      <c r="G477" s="3">
        <f>SUMIFS(Лист2!$E:$E,Лист2!$A:$A,$A477,Лист2!$B:$B,$B477)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>
        <f>SUMIFS(Лист2!$C:$C,Лист2!$A:$A,$A478,Лист2!$B:$B,$B478)</f>
        <v>60</v>
      </c>
      <c r="F478" s="3">
        <f>SUMIFS(Лист2!$D:$D,Лист2!$A:$A,$A478,Лист2!$B:$B,$B478)</f>
        <v>14050</v>
      </c>
      <c r="G478" s="3">
        <f>SUMIFS(Лист2!$E:$E,Лист2!$A:$A,$A478,Лист2!$B:$B,$B478)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>
        <f>SUMIFS(Лист2!$C:$C,Лист2!$A:$A,$A479,Лист2!$B:$B,$B479)</f>
        <v>59</v>
      </c>
      <c r="F479" s="3">
        <f>SUMIFS(Лист2!$D:$D,Лист2!$A:$A,$A479,Лист2!$B:$B,$B479)</f>
        <v>12299</v>
      </c>
      <c r="G479" s="3">
        <f>SUMIFS(Лист2!$E:$E,Лист2!$A:$A,$A479,Лист2!$B:$B,$B479)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>
        <f>SUMIFS(Лист2!$C:$C,Лист2!$A:$A,$A480,Лист2!$B:$B,$B480)</f>
        <v>60</v>
      </c>
      <c r="F480" s="3">
        <f>SUMIFS(Лист2!$D:$D,Лист2!$A:$A,$A480,Лист2!$B:$B,$B480)</f>
        <v>11100</v>
      </c>
      <c r="G480" s="3">
        <f>SUMIFS(Лист2!$E:$E,Лист2!$A:$A,$A480,Лист2!$B:$B,$B480)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>
        <f>SUMIFS(Лист2!$C:$C,Лист2!$A:$A,$A481,Лист2!$B:$B,$B481)</f>
        <v>60</v>
      </c>
      <c r="F481" s="3">
        <f>SUMIFS(Лист2!$D:$D,Лист2!$A:$A,$A481,Лист2!$B:$B,$B481)</f>
        <v>12460</v>
      </c>
      <c r="G481" s="3">
        <f>SUMIFS(Лист2!$E:$E,Лист2!$A:$A,$A481,Лист2!$B:$B,$B481)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>
        <f>SUMIFS(Лист2!$C:$C,Лист2!$A:$A,$A482,Лист2!$B:$B,$B482)</f>
        <v>60</v>
      </c>
      <c r="F482" s="3">
        <f>SUMIFS(Лист2!$D:$D,Лист2!$A:$A,$A482,Лист2!$B:$B,$B482)</f>
        <v>11935</v>
      </c>
      <c r="G482" s="3">
        <f>SUMIFS(Лист2!$E:$E,Лист2!$A:$A,$A482,Лист2!$B:$B,$B482)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>
        <f>SUMIFS(Лист2!$C:$C,Лист2!$A:$A,$A483,Лист2!$B:$B,$B483)</f>
        <v>60</v>
      </c>
      <c r="F483" s="3">
        <f>SUMIFS(Лист2!$D:$D,Лист2!$A:$A,$A483,Лист2!$B:$B,$B483)</f>
        <v>13544</v>
      </c>
      <c r="G483" s="3">
        <f>SUMIFS(Лист2!$E:$E,Лист2!$A:$A,$A483,Лист2!$B:$B,$B483)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>
        <f>SUMIFS(Лист2!$C:$C,Лист2!$A:$A,$A484,Лист2!$B:$B,$B484)</f>
        <v>54</v>
      </c>
      <c r="F484" s="3">
        <f>SUMIFS(Лист2!$D:$D,Лист2!$A:$A,$A484,Лист2!$B:$B,$B484)</f>
        <v>13091</v>
      </c>
      <c r="G484" s="3">
        <f>SUMIFS(Лист2!$E:$E,Лист2!$A:$A,$A484,Лист2!$B:$B,$B484)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>
        <f>SUMIFS(Лист2!$C:$C,Лист2!$A:$A,$A485,Лист2!$B:$B,$B485)</f>
        <v>54</v>
      </c>
      <c r="F485" s="3">
        <f>SUMIFS(Лист2!$D:$D,Лист2!$A:$A,$A485,Лист2!$B:$B,$B485)</f>
        <v>13014</v>
      </c>
      <c r="G485" s="3">
        <f>SUMIFS(Лист2!$E:$E,Лист2!$A:$A,$A485,Лист2!$B:$B,$B485)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>
        <f>SUMIFS(Лист2!$C:$C,Лист2!$A:$A,$A486,Лист2!$B:$B,$B486)</f>
        <v>54</v>
      </c>
      <c r="F486" s="3">
        <f>SUMIFS(Лист2!$D:$D,Лист2!$A:$A,$A486,Лист2!$B:$B,$B486)</f>
        <v>11864</v>
      </c>
      <c r="G486" s="3">
        <f>SUMIFS(Лист2!$E:$E,Лист2!$A:$A,$A486,Лист2!$B:$B,$B486)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>
        <f>SUMIFS(Лист2!$C:$C,Лист2!$A:$A,$A487,Лист2!$B:$B,$B487)</f>
        <v>54</v>
      </c>
      <c r="F487" s="3">
        <f>SUMIFS(Лист2!$D:$D,Лист2!$A:$A,$A487,Лист2!$B:$B,$B487)</f>
        <v>10570</v>
      </c>
      <c r="G487" s="3">
        <f>SUMIFS(Лист2!$E:$E,Лист2!$A:$A,$A487,Лист2!$B:$B,$B487)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>
        <f>SUMIFS(Лист2!$C:$C,Лист2!$A:$A,$A488,Лист2!$B:$B,$B488)</f>
        <v>59</v>
      </c>
      <c r="F488" s="3">
        <f>SUMIFS(Лист2!$D:$D,Лист2!$A:$A,$A488,Лист2!$B:$B,$B488)</f>
        <v>14507</v>
      </c>
      <c r="G488" s="3">
        <f>SUMIFS(Лист2!$E:$E,Лист2!$A:$A,$A488,Лист2!$B:$B,$B488)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>
        <f>SUMIFS(Лист2!$C:$C,Лист2!$A:$A,$A489,Лист2!$B:$B,$B489)</f>
        <v>54</v>
      </c>
      <c r="F489" s="3">
        <f>SUMIFS(Лист2!$D:$D,Лист2!$A:$A,$A489,Лист2!$B:$B,$B489)</f>
        <v>12012</v>
      </c>
      <c r="G489" s="3">
        <f>SUMIFS(Лист2!$E:$E,Лист2!$A:$A,$A489,Лист2!$B:$B,$B489)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>
        <f>SUMIFS(Лист2!$C:$C,Лист2!$A:$A,$A490,Лист2!$B:$B,$B490)</f>
        <v>54</v>
      </c>
      <c r="F490" s="3">
        <f>SUMIFS(Лист2!$D:$D,Лист2!$A:$A,$A490,Лист2!$B:$B,$B490)</f>
        <v>11194</v>
      </c>
      <c r="G490" s="3">
        <f>SUMIFS(Лист2!$E:$E,Лист2!$A:$A,$A490,Лист2!$B:$B,$B490)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>
        <f>SUMIFS(Лист2!$C:$C,Лист2!$A:$A,$A491,Лист2!$B:$B,$B491)</f>
        <v>54</v>
      </c>
      <c r="F491" s="3">
        <f>SUMIFS(Лист2!$D:$D,Лист2!$A:$A,$A491,Лист2!$B:$B,$B491)</f>
        <v>12791</v>
      </c>
      <c r="G491" s="3">
        <f>SUMIFS(Лист2!$E:$E,Лист2!$A:$A,$A491,Лист2!$B:$B,$B491)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>
        <f>SUMIFS(Лист2!$C:$C,Лист2!$A:$A,$A492,Лист2!$B:$B,$B492)</f>
        <v>54</v>
      </c>
      <c r="F492" s="3">
        <f>SUMIFS(Лист2!$D:$D,Лист2!$A:$A,$A492,Лист2!$B:$B,$B492)</f>
        <v>14031</v>
      </c>
      <c r="G492" s="3">
        <f>SUMIFS(Лист2!$E:$E,Лист2!$A:$A,$A492,Лист2!$B:$B,$B492)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>
        <f>SUMIFS(Лист2!$C:$C,Лист2!$A:$A,$A493,Лист2!$B:$B,$B493)</f>
        <v>7</v>
      </c>
      <c r="F493" s="3">
        <f>SUMIFS(Лист2!$D:$D,Лист2!$A:$A,$A493,Лист2!$B:$B,$B493)</f>
        <v>409</v>
      </c>
      <c r="G493" s="3">
        <f>SUMIFS(Лист2!$E:$E,Лист2!$A:$A,$A493,Лист2!$B:$B,$B493)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>
        <f>SUMIFS(Лист2!$C:$C,Лист2!$A:$A,$A494,Лист2!$B:$B,$B494)</f>
        <v>18</v>
      </c>
      <c r="F494" s="3">
        <f>SUMIFS(Лист2!$D:$D,Лист2!$A:$A,$A494,Лист2!$B:$B,$B494)</f>
        <v>985</v>
      </c>
      <c r="G494" s="3">
        <f>SUMIFS(Лист2!$E:$E,Лист2!$A:$A,$A494,Лист2!$B:$B,$B494)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>
        <f>SUMIFS(Лист2!$C:$C,Лист2!$A:$A,$A495,Лист2!$B:$B,$B495)</f>
        <v>9</v>
      </c>
      <c r="F495" s="3">
        <f>SUMIFS(Лист2!$D:$D,Лист2!$A:$A,$A495,Лист2!$B:$B,$B495)</f>
        <v>294</v>
      </c>
      <c r="G495" s="3">
        <f>SUMIFS(Лист2!$E:$E,Лист2!$A:$A,$A495,Лист2!$B:$B,$B495)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>
        <f>SUMIFS(Лист2!$C:$C,Лист2!$A:$A,$A496,Лист2!$B:$B,$B496)</f>
        <v>15</v>
      </c>
      <c r="F496" s="3">
        <f>SUMIFS(Лист2!$D:$D,Лист2!$A:$A,$A496,Лист2!$B:$B,$B496)</f>
        <v>654</v>
      </c>
      <c r="G496" s="3">
        <f>SUMIFS(Лист2!$E:$E,Лист2!$A:$A,$A496,Лист2!$B:$B,$B496)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>
        <f>SUMIFS(Лист2!$C:$C,Лист2!$A:$A,$A497,Лист2!$B:$B,$B497)</f>
        <v>16</v>
      </c>
      <c r="F497" s="3">
        <f>SUMIFS(Лист2!$D:$D,Лист2!$A:$A,$A497,Лист2!$B:$B,$B497)</f>
        <v>864</v>
      </c>
      <c r="G497" s="3">
        <f>SUMIFS(Лист2!$E:$E,Лист2!$A:$A,$A497,Лист2!$B:$B,$B497)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>
        <f>SUMIFS(Лист2!$C:$C,Лист2!$A:$A,$A498,Лист2!$B:$B,$B498)</f>
        <v>16</v>
      </c>
      <c r="F498" s="3">
        <f>SUMIFS(Лист2!$D:$D,Лист2!$A:$A,$A498,Лист2!$B:$B,$B498)</f>
        <v>834</v>
      </c>
      <c r="G498" s="3">
        <f>SUMIFS(Лист2!$E:$E,Лист2!$A:$A,$A498,Лист2!$B:$B,$B498)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>
        <f>SUMIFS(Лист2!$C:$C,Лист2!$A:$A,$A499,Лист2!$B:$B,$B499)</f>
        <v>16</v>
      </c>
      <c r="F499" s="3">
        <f>SUMIFS(Лист2!$D:$D,Лист2!$A:$A,$A499,Лист2!$B:$B,$B499)</f>
        <v>817</v>
      </c>
      <c r="G499" s="3">
        <f>SUMIFS(Лист2!$E:$E,Лист2!$A:$A,$A499,Лист2!$B:$B,$B499)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>
        <f>SUMIFS(Лист2!$C:$C,Лист2!$A:$A,$A500,Лист2!$B:$B,$B500)</f>
        <v>18</v>
      </c>
      <c r="F500" s="3">
        <f>SUMIFS(Лист2!$D:$D,Лист2!$A:$A,$A500,Лист2!$B:$B,$B500)</f>
        <v>962</v>
      </c>
      <c r="G500" s="3">
        <f>SUMIFS(Лист2!$E:$E,Лист2!$A:$A,$A500,Лист2!$B:$B,$B500)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>
        <f>SUMIFS(Лист2!$C:$C,Лист2!$A:$A,$A501,Лист2!$B:$B,$B501)</f>
        <v>6</v>
      </c>
      <c r="F501" s="3">
        <f>SUMIFS(Лист2!$D:$D,Лист2!$A:$A,$A501,Лист2!$B:$B,$B501)</f>
        <v>237</v>
      </c>
      <c r="G501" s="3">
        <f>SUMIFS(Лист2!$E:$E,Лист2!$A:$A,$A501,Лист2!$B:$B,$B501)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>
        <f>SUMIFS(Лист2!$C:$C,Лист2!$A:$A,$A502,Лист2!$B:$B,$B502)</f>
        <v>7</v>
      </c>
      <c r="F502" s="3">
        <f>SUMIFS(Лист2!$D:$D,Лист2!$A:$A,$A502,Лист2!$B:$B,$B502)</f>
        <v>491</v>
      </c>
      <c r="G502" s="3">
        <f>SUMIFS(Лист2!$E:$E,Лист2!$A:$A,$A502,Лист2!$B:$B,$B502)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>
        <f>SUMIFS(Лист2!$C:$C,Лист2!$A:$A,$A503,Лист2!$B:$B,$B503)</f>
        <v>7</v>
      </c>
      <c r="F503" s="3">
        <f>SUMIFS(Лист2!$D:$D,Лист2!$A:$A,$A503,Лист2!$B:$B,$B503)</f>
        <v>500</v>
      </c>
      <c r="G503" s="3">
        <f>SUMIFS(Лист2!$E:$E,Лист2!$A:$A,$A503,Лист2!$B:$B,$B503)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>
        <f>SUMIFS(Лист2!$C:$C,Лист2!$A:$A,$A504,Лист2!$B:$B,$B504)</f>
        <v>18</v>
      </c>
      <c r="F504" s="3">
        <f>SUMIFS(Лист2!$D:$D,Лист2!$A:$A,$A504,Лист2!$B:$B,$B504)</f>
        <v>1014</v>
      </c>
      <c r="G504" s="3">
        <f>SUMIFS(Лист2!$E:$E,Лист2!$A:$A,$A504,Лист2!$B:$B,$B504)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>
        <f>SUMIFS(Лист2!$C:$C,Лист2!$A:$A,$A505,Лист2!$B:$B,$B505)</f>
        <v>18</v>
      </c>
      <c r="F505" s="3">
        <f>SUMIFS(Лист2!$D:$D,Лист2!$A:$A,$A505,Лист2!$B:$B,$B505)</f>
        <v>923</v>
      </c>
      <c r="G505" s="3">
        <f>SUMIFS(Лист2!$E:$E,Лист2!$A:$A,$A505,Лист2!$B:$B,$B505)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sqref="A1:E50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Топ-3 территорий</vt:lpstr>
      <vt:lpstr>Лист1</vt:lpstr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2021-09-13T10:17:58Z</dcterms:created>
  <dcterms:modified xsi:type="dcterms:W3CDTF">2026-10-26T18:17:30Z</dcterms:modified>
</cp:coreProperties>
</file>